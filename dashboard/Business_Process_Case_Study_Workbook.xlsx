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Digital Marketing\02_Business Process Mapping &amp; Optimization Case Study\dashboard\"/>
    </mc:Choice>
  </mc:AlternateContent>
  <xr:revisionPtr revIDLastSave="0" documentId="13_ncr:1_{0703A63E-FCD0-4311-AB7C-EF43DE087870}" xr6:coauthVersionLast="47" xr6:coauthVersionMax="47" xr10:uidLastSave="{00000000-0000-0000-0000-000000000000}"/>
  <bookViews>
    <workbookView xWindow="-108" yWindow="-108" windowWidth="23256" windowHeight="12456" tabRatio="894" xr2:uid="{00000000-000D-0000-FFFF-FFFF00000000}"/>
  </bookViews>
  <sheets>
    <sheet name="Dashboard" sheetId="1" r:id="rId1"/>
    <sheet name="Raw_Dataset" sheetId="2" r:id="rId2"/>
    <sheet name="KPI_Analysis" sheetId="3" r:id="rId3"/>
    <sheet name="Department_Performance" sheetId="4" r:id="rId4"/>
    <sheet name="Bottleneck_Analysis" sheetId="5" r:id="rId5"/>
    <sheet name="AsIs_vs_ToBe" sheetId="6" r:id="rId6"/>
    <sheet name="Improvement_Opportunity_Matrix" sheetId="7" r:id="rId7"/>
    <sheet name="Process_Charter" sheetId="8" r:id="rId8"/>
    <sheet name="SIPOC_Analysis" sheetId="9" r:id="rId9"/>
  </sheets>
  <externalReferences>
    <externalReference r:id="rId10"/>
  </externalReferences>
  <definedNames>
    <definedName name="_xlnm.Print_Area" localSheetId="0">Dashboard!$A$1:$N$84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7" l="1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J23" i="5"/>
  <c r="H23" i="5"/>
  <c r="G23" i="5"/>
  <c r="F23" i="5"/>
  <c r="E23" i="5"/>
  <c r="D23" i="5"/>
  <c r="C23" i="5"/>
  <c r="J22" i="5"/>
  <c r="H22" i="5"/>
  <c r="G22" i="5"/>
  <c r="F22" i="5"/>
  <c r="E22" i="5"/>
  <c r="D22" i="5"/>
  <c r="C22" i="5"/>
  <c r="J21" i="5"/>
  <c r="H21" i="5"/>
  <c r="G21" i="5"/>
  <c r="F21" i="5"/>
  <c r="E21" i="5"/>
  <c r="D21" i="5"/>
  <c r="C21" i="5"/>
  <c r="J20" i="5"/>
  <c r="H20" i="5"/>
  <c r="G20" i="5"/>
  <c r="F20" i="5"/>
  <c r="E20" i="5"/>
  <c r="D20" i="5"/>
  <c r="C20" i="5"/>
  <c r="J19" i="5"/>
  <c r="H19" i="5"/>
  <c r="G19" i="5"/>
  <c r="F19" i="5"/>
  <c r="E19" i="5"/>
  <c r="D19" i="5"/>
  <c r="C19" i="5"/>
  <c r="J18" i="5"/>
  <c r="H18" i="5"/>
  <c r="G18" i="5"/>
  <c r="F18" i="5"/>
  <c r="E18" i="5"/>
  <c r="D18" i="5"/>
  <c r="C18" i="5"/>
  <c r="J17" i="5"/>
  <c r="H17" i="5"/>
  <c r="G17" i="5"/>
  <c r="F17" i="5"/>
  <c r="E17" i="5"/>
  <c r="D17" i="5"/>
  <c r="C17" i="5"/>
  <c r="J16" i="5"/>
  <c r="H16" i="5"/>
  <c r="G16" i="5"/>
  <c r="F16" i="5"/>
  <c r="E16" i="5"/>
  <c r="D16" i="5"/>
  <c r="C16" i="5"/>
  <c r="J15" i="5"/>
  <c r="H15" i="5"/>
  <c r="G15" i="5"/>
  <c r="F15" i="5"/>
  <c r="E15" i="5"/>
  <c r="D15" i="5"/>
  <c r="C15" i="5"/>
  <c r="J14" i="5"/>
  <c r="H14" i="5"/>
  <c r="G14" i="5"/>
  <c r="F14" i="5"/>
  <c r="E14" i="5"/>
  <c r="D14" i="5"/>
  <c r="C14" i="5"/>
  <c r="J13" i="5"/>
  <c r="H13" i="5"/>
  <c r="G13" i="5"/>
  <c r="F13" i="5"/>
  <c r="E13" i="5"/>
  <c r="D13" i="5"/>
  <c r="C13" i="5"/>
  <c r="J12" i="5"/>
  <c r="H12" i="5"/>
  <c r="G12" i="5"/>
  <c r="F12" i="5"/>
  <c r="E12" i="5"/>
  <c r="D12" i="5"/>
  <c r="C12" i="5"/>
  <c r="J11" i="5"/>
  <c r="H11" i="5"/>
  <c r="G11" i="5"/>
  <c r="F11" i="5"/>
  <c r="E11" i="5"/>
  <c r="D11" i="5"/>
  <c r="C11" i="5"/>
  <c r="J10" i="5"/>
  <c r="H10" i="5"/>
  <c r="G10" i="5"/>
  <c r="F10" i="5"/>
  <c r="E10" i="5"/>
  <c r="D10" i="5"/>
  <c r="C10" i="5"/>
  <c r="J9" i="5"/>
  <c r="H9" i="5"/>
  <c r="G9" i="5"/>
  <c r="F9" i="5"/>
  <c r="E9" i="5"/>
  <c r="D9" i="5"/>
  <c r="C9" i="5"/>
  <c r="J8" i="5"/>
  <c r="H8" i="5"/>
  <c r="G8" i="5"/>
  <c r="F8" i="5"/>
  <c r="E8" i="5"/>
  <c r="D8" i="5"/>
  <c r="C8" i="5"/>
  <c r="J7" i="5"/>
  <c r="H7" i="5"/>
  <c r="G7" i="5"/>
  <c r="F7" i="5"/>
  <c r="E7" i="5"/>
  <c r="D7" i="5"/>
  <c r="C7" i="5"/>
  <c r="J6" i="5"/>
  <c r="H6" i="5"/>
  <c r="G6" i="5"/>
  <c r="F6" i="5"/>
  <c r="E6" i="5"/>
  <c r="D6" i="5"/>
  <c r="C6" i="5"/>
  <c r="J5" i="5"/>
  <c r="H5" i="5"/>
  <c r="G5" i="5"/>
  <c r="F5" i="5"/>
  <c r="E5" i="5"/>
  <c r="D5" i="5"/>
  <c r="C5" i="5"/>
  <c r="J9" i="4"/>
  <c r="H9" i="4"/>
  <c r="E9" i="4"/>
  <c r="D9" i="4"/>
  <c r="C9" i="4"/>
  <c r="B9" i="4"/>
  <c r="I9" i="4" s="1"/>
  <c r="J8" i="4"/>
  <c r="I8" i="4"/>
  <c r="H8" i="4"/>
  <c r="E8" i="4"/>
  <c r="D8" i="4"/>
  <c r="C8" i="4"/>
  <c r="B8" i="4"/>
  <c r="K8" i="4" s="1"/>
  <c r="J7" i="4"/>
  <c r="H7" i="4"/>
  <c r="E7" i="4"/>
  <c r="D7" i="4"/>
  <c r="C7" i="4"/>
  <c r="B7" i="4"/>
  <c r="I7" i="4" s="1"/>
  <c r="J6" i="4"/>
  <c r="H6" i="4"/>
  <c r="E6" i="4"/>
  <c r="D6" i="4"/>
  <c r="C6" i="4"/>
  <c r="B6" i="4"/>
  <c r="K6" i="4" s="1"/>
  <c r="J5" i="4"/>
  <c r="H5" i="4"/>
  <c r="E5" i="4"/>
  <c r="D5" i="4"/>
  <c r="C5" i="4"/>
  <c r="B5" i="4"/>
  <c r="I5" i="4" s="1"/>
  <c r="D25" i="3"/>
  <c r="M23" i="3"/>
  <c r="I23" i="3"/>
  <c r="J23" i="3" s="1"/>
  <c r="G23" i="3"/>
  <c r="F23" i="3"/>
  <c r="E23" i="3"/>
  <c r="H23" i="3" s="1"/>
  <c r="D23" i="3"/>
  <c r="C23" i="3"/>
  <c r="L23" i="3" s="1"/>
  <c r="B23" i="3"/>
  <c r="M22" i="3"/>
  <c r="I22" i="3"/>
  <c r="J22" i="3" s="1"/>
  <c r="G22" i="3"/>
  <c r="F22" i="3"/>
  <c r="E22" i="3"/>
  <c r="H22" i="3" s="1"/>
  <c r="D22" i="3"/>
  <c r="C22" i="3"/>
  <c r="N22" i="3" s="1"/>
  <c r="B22" i="3"/>
  <c r="M21" i="3"/>
  <c r="I21" i="3"/>
  <c r="J21" i="3" s="1"/>
  <c r="G21" i="3"/>
  <c r="F21" i="3"/>
  <c r="E21" i="3"/>
  <c r="H21" i="3" s="1"/>
  <c r="D21" i="3"/>
  <c r="C21" i="3"/>
  <c r="L21" i="3" s="1"/>
  <c r="B21" i="3"/>
  <c r="M20" i="3"/>
  <c r="I20" i="3"/>
  <c r="J20" i="3" s="1"/>
  <c r="G20" i="3"/>
  <c r="F20" i="3"/>
  <c r="E20" i="3"/>
  <c r="H20" i="3" s="1"/>
  <c r="D20" i="3"/>
  <c r="C20" i="3"/>
  <c r="N20" i="3" s="1"/>
  <c r="B20" i="3"/>
  <c r="M19" i="3"/>
  <c r="I19" i="3"/>
  <c r="J19" i="3" s="1"/>
  <c r="G19" i="3"/>
  <c r="F19" i="3"/>
  <c r="E19" i="3"/>
  <c r="H19" i="3" s="1"/>
  <c r="D19" i="3"/>
  <c r="C19" i="3"/>
  <c r="L19" i="3" s="1"/>
  <c r="B19" i="3"/>
  <c r="M18" i="3"/>
  <c r="I18" i="3"/>
  <c r="J18" i="3" s="1"/>
  <c r="G18" i="3"/>
  <c r="F18" i="3"/>
  <c r="E18" i="3"/>
  <c r="H18" i="3" s="1"/>
  <c r="D18" i="3"/>
  <c r="C18" i="3"/>
  <c r="N18" i="3" s="1"/>
  <c r="B18" i="3"/>
  <c r="M17" i="3"/>
  <c r="I17" i="3"/>
  <c r="J17" i="3" s="1"/>
  <c r="G17" i="3"/>
  <c r="F17" i="3"/>
  <c r="E17" i="3"/>
  <c r="H17" i="3" s="1"/>
  <c r="D17" i="3"/>
  <c r="C17" i="3"/>
  <c r="L17" i="3" s="1"/>
  <c r="B17" i="3"/>
  <c r="M16" i="3"/>
  <c r="I16" i="3"/>
  <c r="J16" i="3" s="1"/>
  <c r="G16" i="3"/>
  <c r="F16" i="3"/>
  <c r="E16" i="3"/>
  <c r="H16" i="3" s="1"/>
  <c r="D16" i="3"/>
  <c r="C16" i="3"/>
  <c r="N16" i="3" s="1"/>
  <c r="B16" i="3"/>
  <c r="M15" i="3"/>
  <c r="I15" i="3"/>
  <c r="J15" i="3" s="1"/>
  <c r="G15" i="3"/>
  <c r="F15" i="3"/>
  <c r="E15" i="3"/>
  <c r="H15" i="3" s="1"/>
  <c r="D15" i="3"/>
  <c r="C15" i="3"/>
  <c r="L15" i="3" s="1"/>
  <c r="B15" i="3"/>
  <c r="M14" i="3"/>
  <c r="I14" i="3"/>
  <c r="J14" i="3" s="1"/>
  <c r="G14" i="3"/>
  <c r="F14" i="3"/>
  <c r="E14" i="3"/>
  <c r="H14" i="3" s="1"/>
  <c r="D14" i="3"/>
  <c r="C14" i="3"/>
  <c r="N14" i="3" s="1"/>
  <c r="B14" i="3"/>
  <c r="M13" i="3"/>
  <c r="I13" i="3"/>
  <c r="J13" i="3" s="1"/>
  <c r="G13" i="3"/>
  <c r="F13" i="3"/>
  <c r="E13" i="3"/>
  <c r="H13" i="3" s="1"/>
  <c r="D13" i="3"/>
  <c r="C13" i="3"/>
  <c r="L13" i="3" s="1"/>
  <c r="B13" i="3"/>
  <c r="M12" i="3"/>
  <c r="I12" i="3"/>
  <c r="J12" i="3" s="1"/>
  <c r="G12" i="3"/>
  <c r="F12" i="3"/>
  <c r="E12" i="3"/>
  <c r="H12" i="3" s="1"/>
  <c r="D12" i="3"/>
  <c r="C12" i="3"/>
  <c r="N12" i="3" s="1"/>
  <c r="B12" i="3"/>
  <c r="M11" i="3"/>
  <c r="I11" i="3"/>
  <c r="J11" i="3" s="1"/>
  <c r="G11" i="3"/>
  <c r="F11" i="3"/>
  <c r="E11" i="3"/>
  <c r="H11" i="3" s="1"/>
  <c r="D11" i="3"/>
  <c r="C11" i="3"/>
  <c r="L11" i="3" s="1"/>
  <c r="B11" i="3"/>
  <c r="M10" i="3"/>
  <c r="I10" i="3"/>
  <c r="J10" i="3" s="1"/>
  <c r="G10" i="3"/>
  <c r="F10" i="3"/>
  <c r="E10" i="3"/>
  <c r="H10" i="3" s="1"/>
  <c r="D10" i="3"/>
  <c r="C10" i="3"/>
  <c r="N10" i="3" s="1"/>
  <c r="B10" i="3"/>
  <c r="M9" i="3"/>
  <c r="I9" i="3"/>
  <c r="J9" i="3" s="1"/>
  <c r="G9" i="3"/>
  <c r="F9" i="3"/>
  <c r="E9" i="3"/>
  <c r="H9" i="3" s="1"/>
  <c r="D9" i="3"/>
  <c r="C9" i="3"/>
  <c r="L9" i="3" s="1"/>
  <c r="B9" i="3"/>
  <c r="M8" i="3"/>
  <c r="I8" i="3"/>
  <c r="J8" i="3" s="1"/>
  <c r="G8" i="3"/>
  <c r="F8" i="3"/>
  <c r="E8" i="3"/>
  <c r="H8" i="3" s="1"/>
  <c r="D8" i="3"/>
  <c r="C8" i="3"/>
  <c r="N8" i="3" s="1"/>
  <c r="B8" i="3"/>
  <c r="M7" i="3"/>
  <c r="I7" i="3"/>
  <c r="J7" i="3" s="1"/>
  <c r="G7" i="3"/>
  <c r="F7" i="3"/>
  <c r="E7" i="3"/>
  <c r="H7" i="3" s="1"/>
  <c r="D7" i="3"/>
  <c r="C7" i="3"/>
  <c r="L7" i="3" s="1"/>
  <c r="B7" i="3"/>
  <c r="M6" i="3"/>
  <c r="I6" i="3"/>
  <c r="J6" i="3" s="1"/>
  <c r="G6" i="3"/>
  <c r="F6" i="3"/>
  <c r="E6" i="3"/>
  <c r="H6" i="3" s="1"/>
  <c r="D6" i="3"/>
  <c r="C6" i="3"/>
  <c r="N6" i="3" s="1"/>
  <c r="B6" i="3"/>
  <c r="M5" i="3"/>
  <c r="M25" i="3" s="1"/>
  <c r="I5" i="3"/>
  <c r="I25" i="3" s="1"/>
  <c r="G5" i="3"/>
  <c r="G25" i="3" s="1"/>
  <c r="B7" i="6" s="1"/>
  <c r="F5" i="3"/>
  <c r="F25" i="3" s="1"/>
  <c r="B6" i="6" s="1"/>
  <c r="E5" i="3"/>
  <c r="H5" i="3" s="1"/>
  <c r="H25" i="3" s="1"/>
  <c r="D5" i="3"/>
  <c r="C5" i="3"/>
  <c r="C25" i="3" s="1"/>
  <c r="B5" i="3"/>
  <c r="C7" i="6" l="1"/>
  <c r="E7" i="6" s="1"/>
  <c r="B11" i="6"/>
  <c r="C11" i="6" s="1"/>
  <c r="D6" i="1"/>
  <c r="C6" i="6"/>
  <c r="E6" i="6" s="1"/>
  <c r="O25" i="3"/>
  <c r="B8" i="6"/>
  <c r="G6" i="1"/>
  <c r="J25" i="3"/>
  <c r="B5" i="6"/>
  <c r="A6" i="1"/>
  <c r="K8" i="3"/>
  <c r="O12" i="3"/>
  <c r="K14" i="3"/>
  <c r="O18" i="3"/>
  <c r="K20" i="3"/>
  <c r="K22" i="3"/>
  <c r="O22" i="3"/>
  <c r="J5" i="3"/>
  <c r="N5" i="3"/>
  <c r="L6" i="3"/>
  <c r="N7" i="3"/>
  <c r="L8" i="3"/>
  <c r="N9" i="3"/>
  <c r="L10" i="3"/>
  <c r="N11" i="3"/>
  <c r="L12" i="3"/>
  <c r="N13" i="3"/>
  <c r="L14" i="3"/>
  <c r="N15" i="3"/>
  <c r="L16" i="3"/>
  <c r="N17" i="3"/>
  <c r="L18" i="3"/>
  <c r="N19" i="3"/>
  <c r="L20" i="3"/>
  <c r="N21" i="3"/>
  <c r="L22" i="3"/>
  <c r="N23" i="3"/>
  <c r="E25" i="3"/>
  <c r="G5" i="4"/>
  <c r="K5" i="4"/>
  <c r="I6" i="4"/>
  <c r="G7" i="4"/>
  <c r="K7" i="4"/>
  <c r="G9" i="4"/>
  <c r="K9" i="4"/>
  <c r="F5" i="4"/>
  <c r="F9" i="4"/>
  <c r="K5" i="3"/>
  <c r="O5" i="3"/>
  <c r="K7" i="3"/>
  <c r="O7" i="3"/>
  <c r="K9" i="3"/>
  <c r="O9" i="3"/>
  <c r="K11" i="3"/>
  <c r="K13" i="3"/>
  <c r="O13" i="3"/>
  <c r="K15" i="3"/>
  <c r="O15" i="3"/>
  <c r="K19" i="3"/>
  <c r="K21" i="3"/>
  <c r="O21" i="3"/>
  <c r="K23" i="3"/>
  <c r="O23" i="3"/>
  <c r="F6" i="4"/>
  <c r="F8" i="4"/>
  <c r="K6" i="3"/>
  <c r="O6" i="3"/>
  <c r="O8" i="3"/>
  <c r="K10" i="3"/>
  <c r="O10" i="3"/>
  <c r="K12" i="3"/>
  <c r="O14" i="3"/>
  <c r="K16" i="3"/>
  <c r="O16" i="3"/>
  <c r="K18" i="3"/>
  <c r="O20" i="3"/>
  <c r="F7" i="4"/>
  <c r="O11" i="3"/>
  <c r="K17" i="3"/>
  <c r="O17" i="3"/>
  <c r="O19" i="3"/>
  <c r="L5" i="3"/>
  <c r="G6" i="4"/>
  <c r="G8" i="4"/>
  <c r="K25" i="3" l="1"/>
  <c r="E11" i="6"/>
  <c r="D11" i="6"/>
  <c r="N25" i="3"/>
  <c r="B12" i="6" s="1"/>
  <c r="D6" i="6"/>
  <c r="L25" i="3"/>
  <c r="B10" i="6" s="1"/>
  <c r="E8" i="6"/>
  <c r="C8" i="6"/>
  <c r="D8" i="6" s="1"/>
  <c r="D7" i="6"/>
  <c r="E5" i="6"/>
  <c r="C5" i="6"/>
  <c r="D5" i="6" s="1"/>
  <c r="B13" i="6"/>
  <c r="C13" i="6" s="1"/>
  <c r="M6" i="1"/>
  <c r="C12" i="6" l="1"/>
  <c r="E12" i="6" s="1"/>
  <c r="B16" i="6"/>
  <c r="B18" i="6" s="1"/>
  <c r="E13" i="6"/>
  <c r="D13" i="6"/>
  <c r="C10" i="6"/>
  <c r="E10" i="6" s="1"/>
  <c r="B9" i="6"/>
  <c r="J6" i="1"/>
  <c r="D10" i="6" l="1"/>
  <c r="C9" i="6"/>
  <c r="E9" i="6" s="1"/>
  <c r="D12" i="6"/>
  <c r="D9" i="6" l="1"/>
</calcChain>
</file>

<file path=xl/sharedStrings.xml><?xml version="1.0" encoding="utf-8"?>
<sst xmlns="http://schemas.openxmlformats.org/spreadsheetml/2006/main" count="1780" uniqueCount="688">
  <si>
    <t>BUSINESS PROCESS MAPPING &amp; OPTIMIZATION DASHBOARD</t>
  </si>
  <si>
    <t>FILTERS</t>
  </si>
  <si>
    <t>Department (slicer)</t>
  </si>
  <si>
    <t>Process: Order-to-Cash  |  Company: NorthBridge Retail Pvt. Ltd. (E-commerce)  |  Period: Jan – Apr 2025  |  Prepared by: Business Analyst Team</t>
  </si>
  <si>
    <t>Process Status (slicer)</t>
  </si>
  <si>
    <t>SLA Achieved (Yes/No)</t>
  </si>
  <si>
    <t>AVG CYCLE TIME</t>
  </si>
  <si>
    <t>SLA ACHIEVEMENT</t>
  </si>
  <si>
    <t>TOTAL PROCESS COST</t>
  </si>
  <si>
    <t>ERROR RATE</t>
  </si>
  <si>
    <t>PRODUCTIVITY</t>
  </si>
  <si>
    <t>Date Range (Start Time)</t>
  </si>
  <si>
    <t>Activity Name (search)</t>
  </si>
  <si>
    <t>Note: In live Excel/Power BI, insert PivotTable Slicers connected to Raw_Dataset for Department, Process Status, and SLA Achieved to make this dashboard interactive.</t>
  </si>
  <si>
    <t>TOP BOTTLENECKS (BY CYCLE TIME)</t>
  </si>
  <si>
    <t>SLA ACHIEVEMENT BY ACTIVITY</t>
  </si>
  <si>
    <t>PROCESS COST BY ACTIVITY ($)</t>
  </si>
  <si>
    <t>DEPARTMENT PERFORMANCE — SLA % vs ERROR %</t>
  </si>
  <si>
    <t>CUSTOMER COMPLAINT RATE BY ACTIVITY (TOP 8)</t>
  </si>
  <si>
    <t>BEFORE vs AFTER OPTIMIZATION (KEY METRICS)</t>
  </si>
  <si>
    <t>TOP RECOMMENDATIONS  (PRIORITIZED)</t>
  </si>
  <si>
    <t>#</t>
  </si>
  <si>
    <t>Recommendation</t>
  </si>
  <si>
    <t>Owner Dept.</t>
  </si>
  <si>
    <t>Impact</t>
  </si>
  <si>
    <t>Effort</t>
  </si>
  <si>
    <t>1</t>
  </si>
  <si>
    <t>Automate invoice generation &amp; approval via ERP triggers and auto-approval thresholds</t>
  </si>
  <si>
    <t>Finance</t>
  </si>
  <si>
    <t>High</t>
  </si>
  <si>
    <t>Low</t>
  </si>
  <si>
    <t>2</t>
  </si>
  <si>
    <t>Introduce barcode/RFID-guided picking to cut errors and rework in Warehouse</t>
  </si>
  <si>
    <t>Warehouse</t>
  </si>
  <si>
    <t>Medium</t>
  </si>
  <si>
    <t>3</t>
  </si>
  <si>
    <t>Deploy self-service returns portal + chatbot for L1 customer queries</t>
  </si>
  <si>
    <t>Customer Service</t>
  </si>
  <si>
    <t>4</t>
  </si>
  <si>
    <t>Integrate courier tracking APIs to remove manual in-transit status updates</t>
  </si>
  <si>
    <t>Logistics</t>
  </si>
  <si>
    <t>5</t>
  </si>
  <si>
    <t>Real-time CRM-ERP inventory sync to eliminate allocation delays</t>
  </si>
  <si>
    <t>Warehouse/IT</t>
  </si>
  <si>
    <t>6</t>
  </si>
  <si>
    <t>RPA-based bank reconciliation to remove manual payment matching</t>
  </si>
  <si>
    <t>Process ID</t>
  </si>
  <si>
    <t>Process Name</t>
  </si>
  <si>
    <t>Department</t>
  </si>
  <si>
    <t>Process Owner</t>
  </si>
  <si>
    <t>Activity Name</t>
  </si>
  <si>
    <t>Activity Start Time</t>
  </si>
  <si>
    <t>Activity End Time</t>
  </si>
  <si>
    <t>Activity Duration (mins)</t>
  </si>
  <si>
    <t>Resource Assigned</t>
  </si>
  <si>
    <t>Task Volume</t>
  </si>
  <si>
    <t>Tasks Completed</t>
  </si>
  <si>
    <t>Error Count</t>
  </si>
  <si>
    <t>Rework Count</t>
  </si>
  <si>
    <t>Waiting Time (mins)</t>
  </si>
  <si>
    <t>Approval Time (mins)</t>
  </si>
  <si>
    <t>Process Cost ($)</t>
  </si>
  <si>
    <t>SLA Target (mins)</t>
  </si>
  <si>
    <t>SLA Achieved</t>
  </si>
  <si>
    <t>Customer Complaint Count</t>
  </si>
  <si>
    <t>Process Status</t>
  </si>
  <si>
    <t>Improvement Opportunity</t>
  </si>
  <si>
    <t>PROC-0001</t>
  </si>
  <si>
    <t>Order-to-Cash</t>
  </si>
  <si>
    <t>Suresh Iyer</t>
  </si>
  <si>
    <t>Inventory Allocation</t>
  </si>
  <si>
    <t>2025-02-10 11:14</t>
  </si>
  <si>
    <t>2025-02-10 11:41</t>
  </si>
  <si>
    <t>Collections Team</t>
  </si>
  <si>
    <t>Yes</t>
  </si>
  <si>
    <t>Completed</t>
  </si>
  <si>
    <t>Implement real-time inventory sync between CRM and ERP</t>
  </si>
  <si>
    <t>PROC-0002</t>
  </si>
  <si>
    <t>Priya Singh</t>
  </si>
  <si>
    <t>Customer Query Handling</t>
  </si>
  <si>
    <t>2025-03-01 08:01</t>
  </si>
  <si>
    <t>2025-03-01 08:44</t>
  </si>
  <si>
    <t>Quality Check Staff</t>
  </si>
  <si>
    <t>No</t>
  </si>
  <si>
    <t>In Progress</t>
  </si>
  <si>
    <t>Deploy chatbot for L1 query resolution to reduce queue time</t>
  </si>
  <si>
    <t>PROC-0003</t>
  </si>
  <si>
    <t>Vikram Nair</t>
  </si>
  <si>
    <t>Packing</t>
  </si>
  <si>
    <t>2025-03-04 17:17</t>
  </si>
  <si>
    <t>2025-03-04 17:37</t>
  </si>
  <si>
    <t>Finance Team</t>
  </si>
  <si>
    <t>Standardize packing SOPs and add packing-station checklists</t>
  </si>
  <si>
    <t>PROC-0004</t>
  </si>
  <si>
    <t>Picking</t>
  </si>
  <si>
    <t>2025-02-10 10:13</t>
  </si>
  <si>
    <t>2025-02-10 10:27</t>
  </si>
  <si>
    <t>ERP System</t>
  </si>
  <si>
    <t>Deploy barcode/RFID-guided picking to reduce errors and rework</t>
  </si>
  <si>
    <t>PROC-0005</t>
  </si>
  <si>
    <t>Delivery Confirmation</t>
  </si>
  <si>
    <t>2025-04-24 13:38</t>
  </si>
  <si>
    <t>2025-04-24 13:50</t>
  </si>
  <si>
    <t>Enable automated OTP/SMS-based delivery confirmation</t>
  </si>
  <si>
    <t>PROC-0006</t>
  </si>
  <si>
    <t>2025-01-16 16:18</t>
  </si>
  <si>
    <t>2025-01-16 16:58</t>
  </si>
  <si>
    <t>CRM System</t>
  </si>
  <si>
    <t>PROC-0007</t>
  </si>
  <si>
    <t>2025-03-31 11:49</t>
  </si>
  <si>
    <t>2025-03-31 12:08</t>
  </si>
  <si>
    <t>Order Mgmt System</t>
  </si>
  <si>
    <t>PROC-0008</t>
  </si>
  <si>
    <t>2025-03-05 13:10</t>
  </si>
  <si>
    <t>2025-03-05 13:28</t>
  </si>
  <si>
    <t>Customer Support Agent</t>
  </si>
  <si>
    <t>PROC-0009</t>
  </si>
  <si>
    <t>Neha Kapoor</t>
  </si>
  <si>
    <t>Credit Check</t>
  </si>
  <si>
    <t>2025-04-09 11:10</t>
  </si>
  <si>
    <t>2025-04-09 11:56</t>
  </si>
  <si>
    <t>Picking Robot/Staff</t>
  </si>
  <si>
    <t>Delayed</t>
  </si>
  <si>
    <t>Integrate real-time credit scoring API to remove manual waiting time</t>
  </si>
  <si>
    <t>PROC-0010</t>
  </si>
  <si>
    <t>2025-02-16 08:14</t>
  </si>
  <si>
    <t>2025-02-16 08:43</t>
  </si>
  <si>
    <t>Dispatch Team</t>
  </si>
  <si>
    <t>PROC-0011</t>
  </si>
  <si>
    <t>Arjun Verma</t>
  </si>
  <si>
    <t>Returns Processing</t>
  </si>
  <si>
    <t>2025-03-30 15:25</t>
  </si>
  <si>
    <t>2025-03-30 17:06</t>
  </si>
  <si>
    <t>Simplify returns workflow with self-service return portal</t>
  </si>
  <si>
    <t>PROC-0012</t>
  </si>
  <si>
    <t>Quality Check</t>
  </si>
  <si>
    <t>2025-03-21 14:57</t>
  </si>
  <si>
    <t>2025-03-21 15:19</t>
  </si>
  <si>
    <t>Add automated weight/dimension QC sensors to reduce manual QC errors</t>
  </si>
  <si>
    <t>PROC-0013</t>
  </si>
  <si>
    <t>Sales</t>
  </si>
  <si>
    <t>Rohan Mehta</t>
  </si>
  <si>
    <t>Order Approval</t>
  </si>
  <si>
    <t>2025-04-12 08:55</t>
  </si>
  <si>
    <t>2025-04-12 10:30</t>
  </si>
  <si>
    <t>Warehouse Staff</t>
  </si>
  <si>
    <t>Introduce auto-approval thresholds and delegation rules to cut approval delay</t>
  </si>
  <si>
    <t>PROC-0014</t>
  </si>
  <si>
    <t>2025-01-14 14:24</t>
  </si>
  <si>
    <t>2025-01-14 14:37</t>
  </si>
  <si>
    <t>PROC-0015</t>
  </si>
  <si>
    <t>2025-04-08 09:43</t>
  </si>
  <si>
    <t>2025-04-08 10:45</t>
  </si>
  <si>
    <t>PROC-0016</t>
  </si>
  <si>
    <t>Kavita Joshi</t>
  </si>
  <si>
    <t>Courier Pickup</t>
  </si>
  <si>
    <t>2025-03-05 08:46</t>
  </si>
  <si>
    <t>2025-03-05 10:44</t>
  </si>
  <si>
    <t>Courier Partner</t>
  </si>
  <si>
    <t>Negotiate fixed pickup windows with courier partners</t>
  </si>
  <si>
    <t>PROC-0017</t>
  </si>
  <si>
    <t>Payment Reconciliation</t>
  </si>
  <si>
    <t>2025-02-13 16:38</t>
  </si>
  <si>
    <t>2025-02-13 17:05</t>
  </si>
  <si>
    <t>Escalated</t>
  </si>
  <si>
    <t>Use RPA bots for automated bank-statement matching</t>
  </si>
  <si>
    <t>PROC-0018</t>
  </si>
  <si>
    <t>2025-02-16 15:01</t>
  </si>
  <si>
    <t>2025-02-16 15:33</t>
  </si>
  <si>
    <t>PROC-0019</t>
  </si>
  <si>
    <t>Deepak Rao</t>
  </si>
  <si>
    <t>2025-02-05 17:05</t>
  </si>
  <si>
    <t>2025-02-05 17:50</t>
  </si>
  <si>
    <t>PROC-0020</t>
  </si>
  <si>
    <t>2025-03-31 15:35</t>
  </si>
  <si>
    <t>2025-03-31 16:26</t>
  </si>
  <si>
    <t>PROC-0021</t>
  </si>
  <si>
    <t>2025-02-14 14:42</t>
  </si>
  <si>
    <t>2025-02-14 14:53</t>
  </si>
  <si>
    <t>PROC-0022</t>
  </si>
  <si>
    <t>Invoice Approval</t>
  </si>
  <si>
    <t>2025-02-03 09:21</t>
  </si>
  <si>
    <t>2025-02-03 10:04</t>
  </si>
  <si>
    <t>Set auto-approval limits for invoices below threshold value</t>
  </si>
  <si>
    <t>PROC-0023</t>
  </si>
  <si>
    <t>2025-04-06 08:14</t>
  </si>
  <si>
    <t>2025-04-06 08:40</t>
  </si>
  <si>
    <t>PROC-0024</t>
  </si>
  <si>
    <t>2025-03-09 11:34</t>
  </si>
  <si>
    <t>2025-03-09 11:44</t>
  </si>
  <si>
    <t>PROC-0025</t>
  </si>
  <si>
    <t>2025-01-30 09:06</t>
  </si>
  <si>
    <t>2025-01-30 09:19</t>
  </si>
  <si>
    <t>PROC-0026</t>
  </si>
  <si>
    <t>2025-03-30 09:03</t>
  </si>
  <si>
    <t>2025-03-30 09:50</t>
  </si>
  <si>
    <t>PROC-0027</t>
  </si>
  <si>
    <t>2025-01-30 16:28</t>
  </si>
  <si>
    <t>2025-01-30 17:03</t>
  </si>
  <si>
    <t>PROC-0028</t>
  </si>
  <si>
    <t>2025-04-19 16:06</t>
  </si>
  <si>
    <t>2025-04-19 16:22</t>
  </si>
  <si>
    <t>Billing System</t>
  </si>
  <si>
    <t>PROC-0029</t>
  </si>
  <si>
    <t>2025-02-27 15:30</t>
  </si>
  <si>
    <t>2025-02-27 16:17</t>
  </si>
  <si>
    <t>PROC-0030</t>
  </si>
  <si>
    <t>2025-02-24 12:59</t>
  </si>
  <si>
    <t>2025-02-24 14:16</t>
  </si>
  <si>
    <t>PROC-0031</t>
  </si>
  <si>
    <t>2025-01-30 12:13</t>
  </si>
  <si>
    <t>2025-01-30 13:07</t>
  </si>
  <si>
    <t>PROC-0032</t>
  </si>
  <si>
    <t>In-Transit Tracking Update</t>
  </si>
  <si>
    <t>2025-03-21 15:32</t>
  </si>
  <si>
    <t>2025-03-21 15:37</t>
  </si>
  <si>
    <t>Automate tracking updates via courier API webhook integration</t>
  </si>
  <si>
    <t>PROC-0033</t>
  </si>
  <si>
    <t>2025-01-14 17:04</t>
  </si>
  <si>
    <t>2025-01-14 17:39</t>
  </si>
  <si>
    <t>PROC-0034</t>
  </si>
  <si>
    <t>2025-03-23 08:39</t>
  </si>
  <si>
    <t>2025-03-23 09:51</t>
  </si>
  <si>
    <t>PROC-0035</t>
  </si>
  <si>
    <t>Dispatch Scheduling</t>
  </si>
  <si>
    <t>2025-04-07 13:15</t>
  </si>
  <si>
    <t>2025-04-07 13:48</t>
  </si>
  <si>
    <t>Use route optimization software to auto-schedule dispatch</t>
  </si>
  <si>
    <t>PROC-0036</t>
  </si>
  <si>
    <t>2025-03-05 17:36</t>
  </si>
  <si>
    <t>2025-03-05 17:50</t>
  </si>
  <si>
    <t>PROC-0037</t>
  </si>
  <si>
    <t>Sanjay Gupta</t>
  </si>
  <si>
    <t>2025-05-05 13:56</t>
  </si>
  <si>
    <t>2025-05-05 14:12</t>
  </si>
  <si>
    <t>PROC-0038</t>
  </si>
  <si>
    <t>2025-04-06 12:39</t>
  </si>
  <si>
    <t>2025-04-06 13:12</t>
  </si>
  <si>
    <t>PROC-0039</t>
  </si>
  <si>
    <t>2025-01-19 10:16</t>
  </si>
  <si>
    <t>2025-01-19 10:49</t>
  </si>
  <si>
    <t>PROC-0040</t>
  </si>
  <si>
    <t>2025-02-18 11:43</t>
  </si>
  <si>
    <t>2025-02-18 13:06</t>
  </si>
  <si>
    <t>PROC-0041</t>
  </si>
  <si>
    <t>Anita Sharma</t>
  </si>
  <si>
    <t>Order Validation</t>
  </si>
  <si>
    <t>2025-03-01 12:02</t>
  </si>
  <si>
    <t>2025-03-01 12:18</t>
  </si>
  <si>
    <t>Automate validation rules via RPA to reduce manual review time</t>
  </si>
  <si>
    <t>PROC-0042</t>
  </si>
  <si>
    <t>2025-03-03 16:45</t>
  </si>
  <si>
    <t>2025-03-03 17:01</t>
  </si>
  <si>
    <t>PROC-0043</t>
  </si>
  <si>
    <t>2025-03-21 16:09</t>
  </si>
  <si>
    <t>2025-03-21 17:00</t>
  </si>
  <si>
    <t>PROC-0044</t>
  </si>
  <si>
    <t>2025-05-01 13:13</t>
  </si>
  <si>
    <t>2025-05-01 14:26</t>
  </si>
  <si>
    <t>PROC-0045</t>
  </si>
  <si>
    <t>2025-04-11 10:59</t>
  </si>
  <si>
    <t>2025-04-11 12:46</t>
  </si>
  <si>
    <t>PROC-0046</t>
  </si>
  <si>
    <t>Invoice Generation</t>
  </si>
  <si>
    <t>2025-04-10 13:50</t>
  </si>
  <si>
    <t>2025-04-10 13:52</t>
  </si>
  <si>
    <t>Auto-generate invoices via ERP trigger on dispatch confirmation</t>
  </si>
  <si>
    <t>PROC-0047</t>
  </si>
  <si>
    <t>2025-04-16 09:24</t>
  </si>
  <si>
    <t>2025-04-16 09:34</t>
  </si>
  <si>
    <t>PROC-0048</t>
  </si>
  <si>
    <t>2025-04-21 11:14</t>
  </si>
  <si>
    <t>2025-04-21 12:22</t>
  </si>
  <si>
    <t>PROC-0049</t>
  </si>
  <si>
    <t>2025-02-19 16:25</t>
  </si>
  <si>
    <t>2025-02-19 17:39</t>
  </si>
  <si>
    <t>PROC-0050</t>
  </si>
  <si>
    <t>Order Placement</t>
  </si>
  <si>
    <t>2025-01-28 17:16</t>
  </si>
  <si>
    <t>2025-01-28 17:31</t>
  </si>
  <si>
    <t>Review process for automation opportunity</t>
  </si>
  <si>
    <t>PROC-0051</t>
  </si>
  <si>
    <t>2025-03-12 09:24</t>
  </si>
  <si>
    <t>2025-03-12 09:55</t>
  </si>
  <si>
    <t>PROC-0052</t>
  </si>
  <si>
    <t>2025-05-04 16:43</t>
  </si>
  <si>
    <t>2025-05-04 17:06</t>
  </si>
  <si>
    <t>PROC-0053</t>
  </si>
  <si>
    <t>2025-05-03 13:39</t>
  </si>
  <si>
    <t>2025-05-03 13:58</t>
  </si>
  <si>
    <t>PROC-0054</t>
  </si>
  <si>
    <t>2025-02-26 12:35</t>
  </si>
  <si>
    <t>2025-02-26 13:46</t>
  </si>
  <si>
    <t>PROC-0055</t>
  </si>
  <si>
    <t>2025-03-17 08:19</t>
  </si>
  <si>
    <t>2025-03-17 08:47</t>
  </si>
  <si>
    <t>PROC-0056</t>
  </si>
  <si>
    <t>Refund Processing</t>
  </si>
  <si>
    <t>2025-03-03 15:43</t>
  </si>
  <si>
    <t>2025-03-03 16:19</t>
  </si>
  <si>
    <t>Automate refund triggers tied to return-approval status</t>
  </si>
  <si>
    <t>PROC-0057</t>
  </si>
  <si>
    <t>2025-03-12 17:21</t>
  </si>
  <si>
    <t>2025-03-12 17:59</t>
  </si>
  <si>
    <t>PROC-0058</t>
  </si>
  <si>
    <t>2025-01-11 11:30</t>
  </si>
  <si>
    <t>2025-01-11 11:59</t>
  </si>
  <si>
    <t>PROC-0059</t>
  </si>
  <si>
    <t>2025-04-05 14:31</t>
  </si>
  <si>
    <t>2025-04-05 16:31</t>
  </si>
  <si>
    <t>PROC-0060</t>
  </si>
  <si>
    <t>2025-01-28 16:29</t>
  </si>
  <si>
    <t>2025-01-28 16:50</t>
  </si>
  <si>
    <t>PROC-0061</t>
  </si>
  <si>
    <t>2025-04-18 15:42</t>
  </si>
  <si>
    <t>2025-04-18 15:54</t>
  </si>
  <si>
    <t>PROC-0062</t>
  </si>
  <si>
    <t>2025-03-04 10:47</t>
  </si>
  <si>
    <t>2025-03-04 11:29</t>
  </si>
  <si>
    <t>PROC-0063</t>
  </si>
  <si>
    <t>2025-02-05 12:28</t>
  </si>
  <si>
    <t>2025-02-05 13:47</t>
  </si>
  <si>
    <t>PROC-0064</t>
  </si>
  <si>
    <t>2025-01-16 10:09</t>
  </si>
  <si>
    <t>2025-01-16 10:28</t>
  </si>
  <si>
    <t>PROC-0065</t>
  </si>
  <si>
    <t>2025-02-27 13:34</t>
  </si>
  <si>
    <t>2025-02-27 13:45</t>
  </si>
  <si>
    <t>PROC-0066</t>
  </si>
  <si>
    <t>2025-05-01 17:44</t>
  </si>
  <si>
    <t>2025-05-01 18:17</t>
  </si>
  <si>
    <t>PROC-0067</t>
  </si>
  <si>
    <t>2025-04-12 14:54</t>
  </si>
  <si>
    <t>2025-04-12 15:07</t>
  </si>
  <si>
    <t>PROC-0068</t>
  </si>
  <si>
    <t>2025-02-03 12:27</t>
  </si>
  <si>
    <t>2025-02-03 13:19</t>
  </si>
  <si>
    <t>PROC-0069</t>
  </si>
  <si>
    <t>2025-05-03 10:39</t>
  </si>
  <si>
    <t>2025-05-03 10:56</t>
  </si>
  <si>
    <t>PROC-0070</t>
  </si>
  <si>
    <t>2025-04-26 15:11</t>
  </si>
  <si>
    <t>2025-04-26 16:44</t>
  </si>
  <si>
    <t>PROC-0071</t>
  </si>
  <si>
    <t>2025-02-16 13:48</t>
  </si>
  <si>
    <t>2025-02-16 14:05</t>
  </si>
  <si>
    <t>PROC-0072</t>
  </si>
  <si>
    <t>2025-01-08 16:03</t>
  </si>
  <si>
    <t>2025-01-08 16:25</t>
  </si>
  <si>
    <t>PROC-0073</t>
  </si>
  <si>
    <t>2025-02-06 11:53</t>
  </si>
  <si>
    <t>2025-02-06 12:42</t>
  </si>
  <si>
    <t>PROC-0074</t>
  </si>
  <si>
    <t>Payment Processing</t>
  </si>
  <si>
    <t>2025-02-02 15:44</t>
  </si>
  <si>
    <t>2025-02-02 16:10</t>
  </si>
  <si>
    <t>Integrate automated payment gateway reconciliation</t>
  </si>
  <si>
    <t>PROC-0075</t>
  </si>
  <si>
    <t>2025-02-14 09:37</t>
  </si>
  <si>
    <t>2025-02-14 11:31</t>
  </si>
  <si>
    <t>PROC-0076</t>
  </si>
  <si>
    <t>2025-01-31 09:37</t>
  </si>
  <si>
    <t>2025-01-31 09:47</t>
  </si>
  <si>
    <t>PROC-0077</t>
  </si>
  <si>
    <t>2025-04-16 08:22</t>
  </si>
  <si>
    <t>2025-04-16 09:40</t>
  </si>
  <si>
    <t>PROC-0078</t>
  </si>
  <si>
    <t>2025-04-24 14:52</t>
  </si>
  <si>
    <t>2025-04-24 15:19</t>
  </si>
  <si>
    <t>PROC-0079</t>
  </si>
  <si>
    <t>2025-01-28 16:41</t>
  </si>
  <si>
    <t>2025-01-28 18:22</t>
  </si>
  <si>
    <t>PROC-0080</t>
  </si>
  <si>
    <t>2025-04-21 17:17</t>
  </si>
  <si>
    <t>2025-04-21 17:43</t>
  </si>
  <si>
    <t>PROC-0081</t>
  </si>
  <si>
    <t>2025-02-06 15:36</t>
  </si>
  <si>
    <t>2025-02-06 15:47</t>
  </si>
  <si>
    <t>PROC-0082</t>
  </si>
  <si>
    <t>2025-04-24 13:11</t>
  </si>
  <si>
    <t>2025-04-24 13:36</t>
  </si>
  <si>
    <t>PROC-0083</t>
  </si>
  <si>
    <t>2025-01-07 16:12</t>
  </si>
  <si>
    <t>2025-01-07 16:52</t>
  </si>
  <si>
    <t>PROC-0084</t>
  </si>
  <si>
    <t>2025-04-13 11:44</t>
  </si>
  <si>
    <t>2025-04-13 12:02</t>
  </si>
  <si>
    <t>PROC-0085</t>
  </si>
  <si>
    <t>2025-04-04 11:19</t>
  </si>
  <si>
    <t>2025-04-04 12:24</t>
  </si>
  <si>
    <t>PROC-0086</t>
  </si>
  <si>
    <t>2025-04-11 16:21</t>
  </si>
  <si>
    <t>2025-04-11 16:54</t>
  </si>
  <si>
    <t>PROC-0087</t>
  </si>
  <si>
    <t>2025-04-08 11:20</t>
  </si>
  <si>
    <t>2025-04-08 11:39</t>
  </si>
  <si>
    <t>PROC-0088</t>
  </si>
  <si>
    <t>2025-04-10 15:17</t>
  </si>
  <si>
    <t>2025-04-10 15:35</t>
  </si>
  <si>
    <t>PROC-0089</t>
  </si>
  <si>
    <t>2025-02-04 13:11</t>
  </si>
  <si>
    <t>2025-02-04 13:28</t>
  </si>
  <si>
    <t>PROC-0090</t>
  </si>
  <si>
    <t>2025-02-12 10:40</t>
  </si>
  <si>
    <t>2025-02-12 10:58</t>
  </si>
  <si>
    <t>PROC-0091</t>
  </si>
  <si>
    <t>2025-03-08 15:21</t>
  </si>
  <si>
    <t>2025-03-08 15:30</t>
  </si>
  <si>
    <t>PROC-0092</t>
  </si>
  <si>
    <t>2025-02-26 15:04</t>
  </si>
  <si>
    <t>2025-02-26 15:22</t>
  </si>
  <si>
    <t>PROC-0093</t>
  </si>
  <si>
    <t>2025-02-06 09:35</t>
  </si>
  <si>
    <t>2025-02-06 10:29</t>
  </si>
  <si>
    <t>PROC-0094</t>
  </si>
  <si>
    <t>2025-05-02 15:19</t>
  </si>
  <si>
    <t>2025-05-02 15:34</t>
  </si>
  <si>
    <t>PROC-0095</t>
  </si>
  <si>
    <t>2025-04-10 09:48</t>
  </si>
  <si>
    <t>2025-04-10 11:06</t>
  </si>
  <si>
    <t>PROC-0096</t>
  </si>
  <si>
    <t>2025-01-28 16:04</t>
  </si>
  <si>
    <t>2025-01-28 17:30</t>
  </si>
  <si>
    <t>PROC-0097</t>
  </si>
  <si>
    <t>2025-01-10 11:18</t>
  </si>
  <si>
    <t>2025-01-10 13:00</t>
  </si>
  <si>
    <t>PROC-0098</t>
  </si>
  <si>
    <t>2025-02-04 12:50</t>
  </si>
  <si>
    <t>2025-02-04 13:37</t>
  </si>
  <si>
    <t>PROC-0099</t>
  </si>
  <si>
    <t>2025-03-16 11:41</t>
  </si>
  <si>
    <t>2025-03-16 12:20</t>
  </si>
  <si>
    <t>PROC-0100</t>
  </si>
  <si>
    <t>2025-04-11 17:58</t>
  </si>
  <si>
    <t>2025-04-11 18:24</t>
  </si>
  <si>
    <t>PROC-0101</t>
  </si>
  <si>
    <t>2025-03-11 16:31</t>
  </si>
  <si>
    <t>2025-03-11 17:47</t>
  </si>
  <si>
    <t>PROC-0102</t>
  </si>
  <si>
    <t>2025-02-07 08:05</t>
  </si>
  <si>
    <t>2025-02-07 08:20</t>
  </si>
  <si>
    <t>PROC-0103</t>
  </si>
  <si>
    <t>2025-04-21 12:36</t>
  </si>
  <si>
    <t>2025-04-21 13:19</t>
  </si>
  <si>
    <t>PROC-0104</t>
  </si>
  <si>
    <t>2025-03-21 14:40</t>
  </si>
  <si>
    <t>2025-03-21 15:49</t>
  </si>
  <si>
    <t>PROC-0105</t>
  </si>
  <si>
    <t>2025-04-01 09:54</t>
  </si>
  <si>
    <t>2025-04-01 10:09</t>
  </si>
  <si>
    <t>PROC-0106</t>
  </si>
  <si>
    <t>2025-01-10 15:05</t>
  </si>
  <si>
    <t>2025-01-10 17:41</t>
  </si>
  <si>
    <t>PROC-0107</t>
  </si>
  <si>
    <t>2025-04-27 16:29</t>
  </si>
  <si>
    <t>2025-04-27 16:40</t>
  </si>
  <si>
    <t>PROC-0108</t>
  </si>
  <si>
    <t>2025-03-03 08:13</t>
  </si>
  <si>
    <t>2025-03-03 09:10</t>
  </si>
  <si>
    <t>PROC-0109</t>
  </si>
  <si>
    <t>2025-01-09 17:51</t>
  </si>
  <si>
    <t>2025-01-09 18:41</t>
  </si>
  <si>
    <t>PROC-0110</t>
  </si>
  <si>
    <t>2025-02-03 09:29</t>
  </si>
  <si>
    <t>2025-02-03 09:37</t>
  </si>
  <si>
    <t>PROC-0111</t>
  </si>
  <si>
    <t>2025-04-06 12:26</t>
  </si>
  <si>
    <t>2025-04-06 12:42</t>
  </si>
  <si>
    <t>PROC-0112</t>
  </si>
  <si>
    <t>2025-01-30 17:32</t>
  </si>
  <si>
    <t>2025-01-30 18:52</t>
  </si>
  <si>
    <t>PROC-0113</t>
  </si>
  <si>
    <t>2025-02-09 08:18</t>
  </si>
  <si>
    <t>2025-02-09 08:30</t>
  </si>
  <si>
    <t>PROC-0114</t>
  </si>
  <si>
    <t>2025-03-15 15:22</t>
  </si>
  <si>
    <t>2025-03-15 15:43</t>
  </si>
  <si>
    <t>PROC-0115</t>
  </si>
  <si>
    <t>2025-02-05 17:24</t>
  </si>
  <si>
    <t>2025-02-05 17:46</t>
  </si>
  <si>
    <t>PROC-0116</t>
  </si>
  <si>
    <t>2025-03-31 10:31</t>
  </si>
  <si>
    <t>2025-03-31 10:40</t>
  </si>
  <si>
    <t>PROC-0117</t>
  </si>
  <si>
    <t>2025-04-27 15:06</t>
  </si>
  <si>
    <t>2025-04-27 15:31</t>
  </si>
  <si>
    <t>PROC-0118</t>
  </si>
  <si>
    <t>2025-01-25 09:30</t>
  </si>
  <si>
    <t>2025-01-25 10:35</t>
  </si>
  <si>
    <t>PROC-0119</t>
  </si>
  <si>
    <t>2025-04-25 16:24</t>
  </si>
  <si>
    <t>2025-04-25 16:28</t>
  </si>
  <si>
    <t>PROC-0120</t>
  </si>
  <si>
    <t>2025-01-14 11:40</t>
  </si>
  <si>
    <t>2025-01-14 12:12</t>
  </si>
  <si>
    <t>PROC-0121</t>
  </si>
  <si>
    <t>2025-04-06 09:28</t>
  </si>
  <si>
    <t>2025-04-06 09:56</t>
  </si>
  <si>
    <t>PROC-0122</t>
  </si>
  <si>
    <t>2025-02-22 14:09</t>
  </si>
  <si>
    <t>2025-02-22 14:25</t>
  </si>
  <si>
    <t>PROC-0123</t>
  </si>
  <si>
    <t>2025-01-16 17:55</t>
  </si>
  <si>
    <t>2025-01-16 18:37</t>
  </si>
  <si>
    <t>PROC-0124</t>
  </si>
  <si>
    <t>2025-03-06 12:29</t>
  </si>
  <si>
    <t>2025-03-06 13:24</t>
  </si>
  <si>
    <t>PROC-0125</t>
  </si>
  <si>
    <t>2025-03-03 13:37</t>
  </si>
  <si>
    <t>2025-03-03 15:08</t>
  </si>
  <si>
    <t>PROC-0126</t>
  </si>
  <si>
    <t>2025-04-25 15:06</t>
  </si>
  <si>
    <t>2025-04-25 17:01</t>
  </si>
  <si>
    <t>PROC-0127</t>
  </si>
  <si>
    <t>2025-04-22 14:17</t>
  </si>
  <si>
    <t>2025-04-22 15:35</t>
  </si>
  <si>
    <t>PROC-0128</t>
  </si>
  <si>
    <t>2025-04-15 11:38</t>
  </si>
  <si>
    <t>2025-04-15 12:17</t>
  </si>
  <si>
    <t>PROC-0129</t>
  </si>
  <si>
    <t>2025-04-12 10:40</t>
  </si>
  <si>
    <t>2025-04-12 10:56</t>
  </si>
  <si>
    <t>PROC-0130</t>
  </si>
  <si>
    <t>2025-03-21 13:46</t>
  </si>
  <si>
    <t>2025-03-21 15:39</t>
  </si>
  <si>
    <t>Process KPI Analysis — Order-to-Cash (by Activity)</t>
  </si>
  <si>
    <t>All metrics are calculated live from Raw_Dataset using Excel formulas (AVERAGEIF / SUMIF / COUNTIFS).</t>
  </si>
  <si>
    <t>Total Tasks</t>
  </si>
  <si>
    <t>Avg Duration (mins)</t>
  </si>
  <si>
    <t>Avg Waiting Time (mins)</t>
  </si>
  <si>
    <t>Avg Approval Time (mins)</t>
  </si>
  <si>
    <t>Avg Cycle Time (mins)</t>
  </si>
  <si>
    <t>Total Process Cost ($)</t>
  </si>
  <si>
    <t>Cost per Task ($)</t>
  </si>
  <si>
    <t>Error Rate (%)</t>
  </si>
  <si>
    <t>Rework Rate (%)</t>
  </si>
  <si>
    <t>SLA Achievement (%)</t>
  </si>
  <si>
    <t>Complaint Rate (%)</t>
  </si>
  <si>
    <t>Productivity (%)</t>
  </si>
  <si>
    <t>OVERALL PROCESS AVERAGE / TOTAL</t>
  </si>
  <si>
    <t>Department Performance Analysis</t>
  </si>
  <si>
    <t>Aggregated performance by department, calculated live from Raw_Dataset.</t>
  </si>
  <si>
    <t>Total Cost ($)</t>
  </si>
  <si>
    <t>Delayed/Escalated Count</t>
  </si>
  <si>
    <t>Bottleneck &amp; Root-Cause Analysis (Ranked by Impact)</t>
  </si>
  <si>
    <t>Activities ranked by combined impact of cycle time, cost, error rate, and rework rate. Highest-impact bottlenecks appear first.</t>
  </si>
  <si>
    <t>Rank</t>
  </si>
  <si>
    <t>Total Volume</t>
  </si>
  <si>
    <t>Bottleneck Flag</t>
  </si>
  <si>
    <t>Root Cause (Likely)</t>
  </si>
  <si>
    <t>Manual inspection and multi-step approval before refund initiation</t>
  </si>
  <si>
    <t>Fixed pickup windows not aligned with warehouse dispatch readiness</t>
  </si>
  <si>
    <t>Manual picking without barcode guidance, leading to mis-picks</t>
  </si>
  <si>
    <t>Insufficient L1 self-service options; agents handle repetitive queries</t>
  </si>
  <si>
    <t>Manual approval required regardless of invoice value</t>
  </si>
  <si>
    <t>Manual matching of bank statements against ERP records</t>
  </si>
  <si>
    <t>No standardized packing station workflow</t>
  </si>
  <si>
    <t>Refund tied to manual returns approval, creating sequential delay</t>
  </si>
  <si>
    <t>Manual QC checklist prone to inspector variance</t>
  </si>
  <si>
    <t>Lack of real-time sync between CRM and warehouse inventory system</t>
  </si>
  <si>
    <t>Gateway reconciliation requires manual cross-checking</t>
  </si>
  <si>
    <t>Manual data entry from order system into billing system</t>
  </si>
  <si>
    <t>Single-approver bottleneck with no delegation/escalation rule</t>
  </si>
  <si>
    <t>Manual route assignment without optimization software</t>
  </si>
  <si>
    <t>Manual status updates instead of courier API integration</t>
  </si>
  <si>
    <t>Manual underwriting review with single approver dependency</t>
  </si>
  <si>
    <t>Minimal automation gap; primarily customer-driven step</t>
  </si>
  <si>
    <t>Manual review of order details before system confirmation</t>
  </si>
  <si>
    <t>Manual confirmation call/email instead of automated OTP</t>
  </si>
  <si>
    <t>Impact Measurement: As-Is vs To-Be (Projected) — Order-to-Cash Process</t>
  </si>
  <si>
    <t>As-Is values are pulled live from KPI_Analysis (overall row). To-Be values are projected based on automation/optimization levers described in the recommendation report.</t>
  </si>
  <si>
    <t>KPI</t>
  </si>
  <si>
    <t>As-Is (Current)</t>
  </si>
  <si>
    <t>To-Be (Projected)</t>
  </si>
  <si>
    <t>Improvement</t>
  </si>
  <si>
    <t>% Improvement</t>
  </si>
  <si>
    <t>Optimization Lever</t>
  </si>
  <si>
    <t>Average Cycle Time (mins)</t>
  </si>
  <si>
    <t>Automation of approvals, RPA for invoicing, real-time inventory sync</t>
  </si>
  <si>
    <t>Average Waiting Time (mins)</t>
  </si>
  <si>
    <t>Auto-approval thresholds, escalation rules, courier API integration</t>
  </si>
  <si>
    <t>Average Approval Time (mins)</t>
  </si>
  <si>
    <t>Delegation of authority + auto-approval limits for low-risk transactions</t>
  </si>
  <si>
    <t>RPA for repetitive tasks, reduced rework, fewer manual touchpoints</t>
  </si>
  <si>
    <t>Barcode/RFID picking, automated QC sensors, system validation rules</t>
  </si>
  <si>
    <t>Standardized SOPs, automated data validation, single source of truth (ERP/CRM integration)</t>
  </si>
  <si>
    <t>Faster approvals, automated tracking, optimized dispatch scheduling</t>
  </si>
  <si>
    <t>Customer Complaint Rate (%)</t>
  </si>
  <si>
    <t>Self-service returns portal, chatbot for L1 queries, proactive tracking updates</t>
  </si>
  <si>
    <t>Reduced manual rework and faster task completion via automation</t>
  </si>
  <si>
    <t>Estimated Annual Cost Savings (extrapolated)</t>
  </si>
  <si>
    <t>Cost Saving per Cycle ($)</t>
  </si>
  <si>
    <t>Estimated Monthly Order Volume</t>
  </si>
  <si>
    <t>Estimated Annual Savings ($)</t>
  </si>
  <si>
    <t>Process Improvement Opportunity Matrix (Impact vs Effort)</t>
  </si>
  <si>
    <t>Impact and Effort scored 1 (low) to 5 (high) by the Business Analyst team based on bottleneck severity and implementation complexity.</t>
  </si>
  <si>
    <t>Linked Activity</t>
  </si>
  <si>
    <t>Impact (1-5)</t>
  </si>
  <si>
    <t>Effort (1-5)</t>
  </si>
  <si>
    <t>Priority Quadrant</t>
  </si>
  <si>
    <t>Owner</t>
  </si>
  <si>
    <t>Automate invoice generation via ERP triggers</t>
  </si>
  <si>
    <t>Real-time CRM-ERP inventory sync</t>
  </si>
  <si>
    <t>IT/Systems</t>
  </si>
  <si>
    <t>Barcode/RFID-guided picking</t>
  </si>
  <si>
    <t>Auto-approval thresholds for orders</t>
  </si>
  <si>
    <t>Auto-approval limits for invoices</t>
  </si>
  <si>
    <t>RPA for bank statement reconciliation</t>
  </si>
  <si>
    <t>Courier API integration for tracking</t>
  </si>
  <si>
    <t>Self-service customer returns portal</t>
  </si>
  <si>
    <t>Chatbot for L1 query resolution</t>
  </si>
  <si>
    <t>Automated QC sensors</t>
  </si>
  <si>
    <t>Route optimization software for dispatch</t>
  </si>
  <si>
    <t>Fixed courier pickup windows (SLA-based)</t>
  </si>
  <si>
    <t>Standardized packing SOPs</t>
  </si>
  <si>
    <t>Automated OTP delivery confirmation</t>
  </si>
  <si>
    <t>Real-time credit scoring API</t>
  </si>
  <si>
    <t>Automated refund trigger on return approval</t>
  </si>
  <si>
    <t>Hyperlocal delivery partnerships</t>
  </si>
  <si>
    <t>Last-Mile Delivery</t>
  </si>
  <si>
    <t>Payment gateway auto-reconciliation</t>
  </si>
  <si>
    <t>Order validation rule automation (RPA)</t>
  </si>
  <si>
    <t>Process Charter — Order-to-Cash</t>
  </si>
  <si>
    <t>Order-to-Cash (O2C)</t>
  </si>
  <si>
    <t>Anita Sharma (Head of Sales Operations)</t>
  </si>
  <si>
    <t>Department(s) Involved</t>
  </si>
  <si>
    <t>Sales, Warehouse, Logistics, Finance, Customer Service, IT/Systems</t>
  </si>
  <si>
    <t>Stakeholders</t>
  </si>
  <si>
    <t>Sales Team, Warehouse Team, Logistics/Courier Partners, Finance Team, Customer Service, IT/Systems, Customers, Senior Management</t>
  </si>
  <si>
    <t>Scope</t>
  </si>
  <si>
    <t>From customer order placement to final payment reconciliation and delivery confirmation, including returns and refunds</t>
  </si>
  <si>
    <t>Objectives</t>
  </si>
  <si>
    <t>1) Reduce average order-to-delivery cycle time  2) Reduce process cost per order  3) Reduce error and rework rates  4) Improve SLA achievement  5) Reduce customer complaints</t>
  </si>
  <si>
    <t>Current Pain Points</t>
  </si>
  <si>
    <t>Manual approvals causing delays; inventory allocation mismatches; manual invoice generation and reconciliation; high last-mile delivery variability; manual returns/refund processing</t>
  </si>
  <si>
    <t>Success Criteria</t>
  </si>
  <si>
    <t>Cycle time reduced by 40-55%, SLA achievement improved to 90%+, error/rework rates reduced by 50%, process cost reduced by 25-35%</t>
  </si>
  <si>
    <t>Project Timeline</t>
  </si>
  <si>
    <t>8 weeks (2 weeks data collection &amp; mapping, 2 weeks analysis, 2 weeks optimization design, 2 weeks reporting &amp; presentation)</t>
  </si>
  <si>
    <t>Project Sponsor</t>
  </si>
  <si>
    <t>VP Operations</t>
  </si>
  <si>
    <t>SIPOC Analysis — Order-to-Cash Process</t>
  </si>
  <si>
    <t>Suppliers, Inputs, Process, Outputs, Customers — a high-level view before detailed process mapping.</t>
  </si>
  <si>
    <t>Suppliers</t>
  </si>
  <si>
    <t>Inputs</t>
  </si>
  <si>
    <t>Process (High-Level Steps)</t>
  </si>
  <si>
    <t>Outputs</t>
  </si>
  <si>
    <t>Customers</t>
  </si>
  <si>
    <t>Customer (order placed)</t>
  </si>
  <si>
    <t>Order details, payment info</t>
  </si>
  <si>
    <t>1. Order Placement</t>
  </si>
  <si>
    <t>Confirmed order in system</t>
  </si>
  <si>
    <t>Internal Sales Team</t>
  </si>
  <si>
    <t>Sales/CRM System</t>
  </si>
  <si>
    <t>Order data, customer credit history</t>
  </si>
  <si>
    <t>2. Order Validation &amp; Credit Check</t>
  </si>
  <si>
    <t>Validated, credit-approved order</t>
  </si>
  <si>
    <t>Warehouse Team</t>
  </si>
  <si>
    <t>Warehouse Management System</t>
  </si>
  <si>
    <t>Inventory levels, SKU data</t>
  </si>
  <si>
    <t>3. Inventory Allocation &amp; Order Approval</t>
  </si>
  <si>
    <t>Allocated stock, approved order</t>
  </si>
  <si>
    <t>Picking list, packing materials</t>
  </si>
  <si>
    <t>4. Picking, Packing &amp; Quality Check</t>
  </si>
  <si>
    <t>Packed, QC-passed shipment</t>
  </si>
  <si>
    <t>Logistics Team</t>
  </si>
  <si>
    <t>Logistics/Courier Partner</t>
  </si>
  <si>
    <t>Dispatch schedule, shipment label</t>
  </si>
  <si>
    <t>5. Dispatch Scheduling &amp; Courier Pickup</t>
  </si>
  <si>
    <t>Shipment in transit</t>
  </si>
  <si>
    <t>Customer</t>
  </si>
  <si>
    <t>Tracking data, delivery proof</t>
  </si>
  <si>
    <t>6. In-Transit Tracking &amp; Last-Mile Delivery</t>
  </si>
  <si>
    <t>Delivered package, delivery confirmation</t>
  </si>
  <si>
    <t>Customer, Finance Team</t>
  </si>
  <si>
    <t>Finance/Billing System</t>
  </si>
  <si>
    <t>Order value, tax data</t>
  </si>
  <si>
    <t>7. Invoice Generation &amp; Approval</t>
  </si>
  <si>
    <t>Approved invoice</t>
  </si>
  <si>
    <t>Payment Gateway/Bank</t>
  </si>
  <si>
    <t>Payment transaction data</t>
  </si>
  <si>
    <t>8. Payment Processing &amp; Reconciliation</t>
  </si>
  <si>
    <t>Reconciled payment, closed order</t>
  </si>
  <si>
    <t>Finance, Management</t>
  </si>
  <si>
    <t>Customer Service Team</t>
  </si>
  <si>
    <t>Customer complaints, return requests</t>
  </si>
  <si>
    <t>9. Customer Query, Returns &amp; Refund Processing</t>
  </si>
  <si>
    <t>Resolved query/return, refund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</si>
</sst>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sz val="9"/>
      <name val="Calibri"/>
      <family val="2"/>
    </font>
    <font>
      <i/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8"/>
      <color rgb="FF2E75B6"/>
      <name val="Calibri"/>
      <family val="2"/>
    </font>
    <font>
      <b/>
      <sz val="18"/>
      <color rgb="FF1E7B45"/>
      <name val="Calibri"/>
      <family val="2"/>
    </font>
    <font>
      <b/>
      <sz val="18"/>
      <color rgb="FFBF8F00"/>
      <name val="Calibri"/>
      <family val="2"/>
    </font>
    <font>
      <b/>
      <sz val="18"/>
      <color rgb="FFC00000"/>
      <name val="Calibri"/>
      <family val="2"/>
    </font>
    <font>
      <i/>
      <sz val="8"/>
      <color rgb="FF808080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6"/>
      <color rgb="FF1F3864"/>
      <name val="Calibri"/>
      <family val="2"/>
    </font>
    <font>
      <i/>
      <sz val="9"/>
      <color rgb="FF595959"/>
      <name val="Calibri"/>
      <family val="2"/>
    </font>
    <font>
      <b/>
      <sz val="10"/>
      <color rgb="FF1F3864"/>
      <name val="Calibri"/>
      <family val="2"/>
    </font>
    <font>
      <b/>
      <sz val="11"/>
      <color rgb="FF1F3864"/>
      <name val="Calibri"/>
      <family val="2"/>
    </font>
    <font>
      <sz val="10"/>
      <name val="Calibri"/>
      <family val="2"/>
    </font>
    <font>
      <b/>
      <sz val="10"/>
      <color rgb="FF1E7B4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4F81BD"/>
      </patternFill>
    </fill>
    <fill>
      <patternFill patternType="solid">
        <fgColor rgb="FFD9E6F2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6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6" fillId="5" borderId="1" xfId="0" applyFont="1" applyFill="1" applyBorder="1" applyAlignment="1">
      <alignment vertical="top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1" fillId="4" borderId="0" xfId="0" applyFont="1" applyFill="1" applyAlignment="1">
      <alignment horizontal="left" vertical="center" indent="1"/>
    </xf>
    <xf numFmtId="0" fontId="12" fillId="2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11" fillId="4" borderId="0" xfId="0" applyFont="1" applyFill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3" fillId="0" borderId="2" xfId="0" applyFont="1" applyBorder="1" applyAlignment="1">
      <alignment vertical="top" wrapText="1"/>
    </xf>
  </cellXfs>
  <cellStyles count="1">
    <cellStyle name="Normal" xfId="0" builtinId="0"/>
  </cellStyles>
  <dxfs count="10"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5"/>
      <rgbColor rgb="FFBFBFBF"/>
      <rgbColor rgb="FF808080"/>
      <rgbColor rgb="FF9999FF"/>
      <rgbColor rgb="FFC0504D"/>
      <rgbColor rgb="FFF2F2F2"/>
      <rgbColor rgb="FFD9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B3B3B3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Bottleneck_Analysis!$C$4</c:f>
              <c:strCache>
                <c:ptCount val="1"/>
                <c:pt idx="0">
                  <c:v>Avg Cycle Time (mins)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Bottleneck_Analysis!$B$6:$B$13</c:f>
              <c:strCache>
                <c:ptCount val="8"/>
                <c:pt idx="0">
                  <c:v>Courier Pickup</c:v>
                </c:pt>
                <c:pt idx="1">
                  <c:v>Picking</c:v>
                </c:pt>
                <c:pt idx="2">
                  <c:v>Customer Query Handling</c:v>
                </c:pt>
                <c:pt idx="3">
                  <c:v>Invoice Approval</c:v>
                </c:pt>
                <c:pt idx="4">
                  <c:v>Payment Reconciliation</c:v>
                </c:pt>
                <c:pt idx="5">
                  <c:v>Packing</c:v>
                </c:pt>
                <c:pt idx="6">
                  <c:v>Refund Processing</c:v>
                </c:pt>
                <c:pt idx="7">
                  <c:v>Quality Check</c:v>
                </c:pt>
              </c:strCache>
            </c:strRef>
          </c:cat>
          <c:val>
            <c:numRef>
              <c:f>Bottleneck_Analysis!$C$5:$C$13</c:f>
              <c:numCache>
                <c:formatCode>General</c:formatCode>
                <c:ptCount val="9"/>
                <c:pt idx="0">
                  <c:v>69.3</c:v>
                </c:pt>
                <c:pt idx="1">
                  <c:v>89.4</c:v>
                </c:pt>
                <c:pt idx="2">
                  <c:v>32.1</c:v>
                </c:pt>
                <c:pt idx="3">
                  <c:v>55.1</c:v>
                </c:pt>
                <c:pt idx="4">
                  <c:v>63.2</c:v>
                </c:pt>
                <c:pt idx="5">
                  <c:v>27.6</c:v>
                </c:pt>
                <c:pt idx="6">
                  <c:v>22.3</c:v>
                </c:pt>
                <c:pt idx="7">
                  <c:v>60.7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0-403B-9E98-6769B74B1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54313"/>
        <c:axId val="48708436"/>
      </c:barChart>
      <c:catAx>
        <c:axId val="855543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Cycle Time (mins)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08436"/>
        <c:crosses val="autoZero"/>
        <c:auto val="1"/>
        <c:lblAlgn val="ctr"/>
        <c:lblOffset val="100"/>
        <c:noMultiLvlLbl val="0"/>
      </c:catAx>
      <c:valAx>
        <c:axId val="487084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543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KPI_Analysis!$M$4</c:f>
              <c:strCache>
                <c:ptCount val="1"/>
                <c:pt idx="0">
                  <c:v>SLA Achievement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KPI_Analysis!$A$5:$A$23</c:f>
              <c:strCache>
                <c:ptCount val="19"/>
                <c:pt idx="0">
                  <c:v>Courier Pickup</c:v>
                </c:pt>
                <c:pt idx="1">
                  <c:v>Credit Check</c:v>
                </c:pt>
                <c:pt idx="2">
                  <c:v>Customer Query Handling</c:v>
                </c:pt>
                <c:pt idx="3">
                  <c:v>Delivery Confirmation</c:v>
                </c:pt>
                <c:pt idx="4">
                  <c:v>Dispatch Scheduling</c:v>
                </c:pt>
                <c:pt idx="5">
                  <c:v>In-Transit Tracking Update</c:v>
                </c:pt>
                <c:pt idx="6">
                  <c:v>Inventory Allocation</c:v>
                </c:pt>
                <c:pt idx="7">
                  <c:v>Invoice Approval</c:v>
                </c:pt>
                <c:pt idx="8">
                  <c:v>Invoice Generation</c:v>
                </c:pt>
                <c:pt idx="9">
                  <c:v>Order Approval</c:v>
                </c:pt>
                <c:pt idx="10">
                  <c:v>Order Placement</c:v>
                </c:pt>
                <c:pt idx="11">
                  <c:v>Order Validation</c:v>
                </c:pt>
                <c:pt idx="12">
                  <c:v>Packing</c:v>
                </c:pt>
                <c:pt idx="13">
                  <c:v>Payment Processing</c:v>
                </c:pt>
                <c:pt idx="14">
                  <c:v>Payment Reconciliation</c:v>
                </c:pt>
                <c:pt idx="15">
                  <c:v>Picking</c:v>
                </c:pt>
                <c:pt idx="16">
                  <c:v>Quality Check</c:v>
                </c:pt>
                <c:pt idx="17">
                  <c:v>Refund Processing</c:v>
                </c:pt>
                <c:pt idx="18">
                  <c:v>Returns Processing</c:v>
                </c:pt>
              </c:strCache>
            </c:strRef>
          </c:cat>
          <c:val>
            <c:numRef>
              <c:f>KPI_Analysis!$M$5:$M$23</c:f>
              <c:numCache>
                <c:formatCode>General</c:formatCode>
                <c:ptCount val="19"/>
                <c:pt idx="0">
                  <c:v>15.4</c:v>
                </c:pt>
                <c:pt idx="1">
                  <c:v>16.7</c:v>
                </c:pt>
                <c:pt idx="2">
                  <c:v>0</c:v>
                </c:pt>
                <c:pt idx="3">
                  <c:v>80</c:v>
                </c:pt>
                <c:pt idx="4">
                  <c:v>50</c:v>
                </c:pt>
                <c:pt idx="5">
                  <c:v>28.6</c:v>
                </c:pt>
                <c:pt idx="6">
                  <c:v>83.3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100</c:v>
                </c:pt>
                <c:pt idx="11">
                  <c:v>100</c:v>
                </c:pt>
                <c:pt idx="12">
                  <c:v>62.5</c:v>
                </c:pt>
                <c:pt idx="13">
                  <c:v>85.7</c:v>
                </c:pt>
                <c:pt idx="14">
                  <c:v>80</c:v>
                </c:pt>
                <c:pt idx="15">
                  <c:v>70</c:v>
                </c:pt>
                <c:pt idx="16">
                  <c:v>71.400000000000006</c:v>
                </c:pt>
                <c:pt idx="17">
                  <c:v>0</c:v>
                </c:pt>
                <c:pt idx="18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D-4A7D-917C-5CD900B0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84532"/>
        <c:axId val="67329655"/>
      </c:barChart>
      <c:catAx>
        <c:axId val="549845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29655"/>
        <c:crosses val="autoZero"/>
        <c:auto val="1"/>
        <c:lblAlgn val="ctr"/>
        <c:lblOffset val="100"/>
        <c:noMultiLvlLbl val="0"/>
      </c:catAx>
      <c:valAx>
        <c:axId val="67329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SLA Achievement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845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KPI_Analysis!$I$4</c:f>
              <c:strCache>
                <c:ptCount val="1"/>
                <c:pt idx="0">
                  <c:v>Total Process Cost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KPI_Analysis!$A$5:$A$23</c:f>
              <c:strCache>
                <c:ptCount val="19"/>
                <c:pt idx="0">
                  <c:v>Courier Pickup</c:v>
                </c:pt>
                <c:pt idx="1">
                  <c:v>Credit Check</c:v>
                </c:pt>
                <c:pt idx="2">
                  <c:v>Customer Query Handling</c:v>
                </c:pt>
                <c:pt idx="3">
                  <c:v>Delivery Confirmation</c:v>
                </c:pt>
                <c:pt idx="4">
                  <c:v>Dispatch Scheduling</c:v>
                </c:pt>
                <c:pt idx="5">
                  <c:v>In-Transit Tracking Update</c:v>
                </c:pt>
                <c:pt idx="6">
                  <c:v>Inventory Allocation</c:v>
                </c:pt>
                <c:pt idx="7">
                  <c:v>Invoice Approval</c:v>
                </c:pt>
                <c:pt idx="8">
                  <c:v>Invoice Generation</c:v>
                </c:pt>
                <c:pt idx="9">
                  <c:v>Order Approval</c:v>
                </c:pt>
                <c:pt idx="10">
                  <c:v>Order Placement</c:v>
                </c:pt>
                <c:pt idx="11">
                  <c:v>Order Validation</c:v>
                </c:pt>
                <c:pt idx="12">
                  <c:v>Packing</c:v>
                </c:pt>
                <c:pt idx="13">
                  <c:v>Payment Processing</c:v>
                </c:pt>
                <c:pt idx="14">
                  <c:v>Payment Reconciliation</c:v>
                </c:pt>
                <c:pt idx="15">
                  <c:v>Picking</c:v>
                </c:pt>
                <c:pt idx="16">
                  <c:v>Quality Check</c:v>
                </c:pt>
                <c:pt idx="17">
                  <c:v>Refund Processing</c:v>
                </c:pt>
                <c:pt idx="18">
                  <c:v>Returns Processing</c:v>
                </c:pt>
              </c:strCache>
            </c:strRef>
          </c:cat>
          <c:val>
            <c:numRef>
              <c:f>KPI_Analysis!$I$5:$I$23</c:f>
              <c:numCache>
                <c:formatCode>General</c:formatCode>
                <c:ptCount val="19"/>
                <c:pt idx="0">
                  <c:v>14783.45</c:v>
                </c:pt>
                <c:pt idx="1">
                  <c:v>2477.3000000000002</c:v>
                </c:pt>
                <c:pt idx="2">
                  <c:v>4648.0200000000004</c:v>
                </c:pt>
                <c:pt idx="3">
                  <c:v>1462.4</c:v>
                </c:pt>
                <c:pt idx="4">
                  <c:v>2851.93</c:v>
                </c:pt>
                <c:pt idx="5">
                  <c:v>2958.49</c:v>
                </c:pt>
                <c:pt idx="6">
                  <c:v>2863.51</c:v>
                </c:pt>
                <c:pt idx="7">
                  <c:v>4007.35</c:v>
                </c:pt>
                <c:pt idx="8">
                  <c:v>3860.66</c:v>
                </c:pt>
                <c:pt idx="9">
                  <c:v>1363.81</c:v>
                </c:pt>
                <c:pt idx="10">
                  <c:v>1645.99</c:v>
                </c:pt>
                <c:pt idx="11">
                  <c:v>1318.48</c:v>
                </c:pt>
                <c:pt idx="12">
                  <c:v>3891.65</c:v>
                </c:pt>
                <c:pt idx="13">
                  <c:v>3776.89</c:v>
                </c:pt>
                <c:pt idx="14">
                  <c:v>3045.22</c:v>
                </c:pt>
                <c:pt idx="15">
                  <c:v>8202.83</c:v>
                </c:pt>
                <c:pt idx="16">
                  <c:v>4129.1899999999996</c:v>
                </c:pt>
                <c:pt idx="17">
                  <c:v>2287.0300000000002</c:v>
                </c:pt>
                <c:pt idx="18">
                  <c:v>5086.38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3-4CA3-936C-EE9E48049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34149"/>
        <c:axId val="23522015"/>
      </c:barChart>
      <c:catAx>
        <c:axId val="342341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22015"/>
        <c:crosses val="autoZero"/>
        <c:auto val="1"/>
        <c:lblAlgn val="ctr"/>
        <c:lblOffset val="100"/>
        <c:noMultiLvlLbl val="0"/>
      </c:catAx>
      <c:valAx>
        <c:axId val="23522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341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Department_Performance!$H$4</c:f>
              <c:strCache>
                <c:ptCount val="1"/>
                <c:pt idx="0">
                  <c:v>SLA Achievement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Department_Performance!$A$5:$A$9</c:f>
              <c:strCache>
                <c:ptCount val="5"/>
                <c:pt idx="0">
                  <c:v>Customer Service</c:v>
                </c:pt>
                <c:pt idx="1">
                  <c:v>Finance</c:v>
                </c:pt>
                <c:pt idx="2">
                  <c:v>Logistics</c:v>
                </c:pt>
                <c:pt idx="3">
                  <c:v>Sales</c:v>
                </c:pt>
                <c:pt idx="4">
                  <c:v>Warehouse</c:v>
                </c:pt>
              </c:strCache>
            </c:strRef>
          </c:cat>
          <c:val>
            <c:numRef>
              <c:f>Department_Performance!$H$5:$H$9</c:f>
              <c:numCache>
                <c:formatCode>General</c:formatCode>
                <c:ptCount val="5"/>
                <c:pt idx="0">
                  <c:v>28.6</c:v>
                </c:pt>
                <c:pt idx="1">
                  <c:v>36.6</c:v>
                </c:pt>
                <c:pt idx="2">
                  <c:v>26.9</c:v>
                </c:pt>
                <c:pt idx="3">
                  <c:v>63.6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3-482D-9E93-03070AAC2482}"/>
            </c:ext>
          </c:extLst>
        </c:ser>
        <c:ser>
          <c:idx val="1"/>
          <c:order val="1"/>
          <c:tx>
            <c:strRef>
              <c:f>Department_Performance!$F$4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Department_Performance!$A$5:$A$9</c:f>
              <c:strCache>
                <c:ptCount val="5"/>
                <c:pt idx="0">
                  <c:v>Customer Service</c:v>
                </c:pt>
                <c:pt idx="1">
                  <c:v>Finance</c:v>
                </c:pt>
                <c:pt idx="2">
                  <c:v>Logistics</c:v>
                </c:pt>
                <c:pt idx="3">
                  <c:v>Sales</c:v>
                </c:pt>
                <c:pt idx="4">
                  <c:v>Warehouse</c:v>
                </c:pt>
              </c:strCache>
            </c:strRef>
          </c:cat>
          <c:val>
            <c:numRef>
              <c:f>Department_Performance!$F$5:$F$9</c:f>
              <c:numCache>
                <c:formatCode>General</c:formatCode>
                <c:ptCount val="5"/>
                <c:pt idx="0">
                  <c:v>5.22</c:v>
                </c:pt>
                <c:pt idx="1">
                  <c:v>8.08</c:v>
                </c:pt>
                <c:pt idx="2">
                  <c:v>5.55</c:v>
                </c:pt>
                <c:pt idx="3">
                  <c:v>4.79</c:v>
                </c:pt>
                <c:pt idx="4">
                  <c:v>10.41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3-482D-9E93-03070AAC2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01979"/>
        <c:axId val="21160463"/>
      </c:barChart>
      <c:catAx>
        <c:axId val="43301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60463"/>
        <c:crosses val="autoZero"/>
        <c:auto val="1"/>
        <c:lblAlgn val="ctr"/>
        <c:lblOffset val="100"/>
        <c:noMultiLvlLbl val="0"/>
      </c:catAx>
      <c:valAx>
        <c:axId val="21160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301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KPI_Analysis!$N$4</c:f>
              <c:strCache>
                <c:ptCount val="1"/>
                <c:pt idx="0">
                  <c:v>Complaint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KPI_Analysis!$A$5:$A$23</c:f>
              <c:strCache>
                <c:ptCount val="19"/>
                <c:pt idx="0">
                  <c:v>Courier Pickup</c:v>
                </c:pt>
                <c:pt idx="1">
                  <c:v>Credit Check</c:v>
                </c:pt>
                <c:pt idx="2">
                  <c:v>Customer Query Handling</c:v>
                </c:pt>
                <c:pt idx="3">
                  <c:v>Delivery Confirmation</c:v>
                </c:pt>
                <c:pt idx="4">
                  <c:v>Dispatch Scheduling</c:v>
                </c:pt>
                <c:pt idx="5">
                  <c:v>In-Transit Tracking Update</c:v>
                </c:pt>
                <c:pt idx="6">
                  <c:v>Inventory Allocation</c:v>
                </c:pt>
                <c:pt idx="7">
                  <c:v>Invoice Approval</c:v>
                </c:pt>
                <c:pt idx="8">
                  <c:v>Invoice Generation</c:v>
                </c:pt>
                <c:pt idx="9">
                  <c:v>Order Approval</c:v>
                </c:pt>
                <c:pt idx="10">
                  <c:v>Order Placement</c:v>
                </c:pt>
                <c:pt idx="11">
                  <c:v>Order Validation</c:v>
                </c:pt>
                <c:pt idx="12">
                  <c:v>Packing</c:v>
                </c:pt>
                <c:pt idx="13">
                  <c:v>Payment Processing</c:v>
                </c:pt>
                <c:pt idx="14">
                  <c:v>Payment Reconciliation</c:v>
                </c:pt>
                <c:pt idx="15">
                  <c:v>Picking</c:v>
                </c:pt>
                <c:pt idx="16">
                  <c:v>Quality Check</c:v>
                </c:pt>
                <c:pt idx="17">
                  <c:v>Refund Processing</c:v>
                </c:pt>
                <c:pt idx="18">
                  <c:v>Returns Processing</c:v>
                </c:pt>
              </c:strCache>
            </c:strRef>
          </c:cat>
          <c:val>
            <c:numRef>
              <c:f>KPI_Analysis!$N$5:$N$23</c:f>
              <c:numCache>
                <c:formatCode>General</c:formatCode>
                <c:ptCount val="19"/>
                <c:pt idx="0">
                  <c:v>5.62</c:v>
                </c:pt>
                <c:pt idx="1">
                  <c:v>5.74</c:v>
                </c:pt>
                <c:pt idx="2">
                  <c:v>5.91</c:v>
                </c:pt>
                <c:pt idx="3">
                  <c:v>1.55</c:v>
                </c:pt>
                <c:pt idx="4">
                  <c:v>6.77</c:v>
                </c:pt>
                <c:pt idx="5">
                  <c:v>5.99</c:v>
                </c:pt>
                <c:pt idx="6">
                  <c:v>6.81</c:v>
                </c:pt>
                <c:pt idx="7">
                  <c:v>6.04</c:v>
                </c:pt>
                <c:pt idx="8">
                  <c:v>6.46</c:v>
                </c:pt>
                <c:pt idx="9">
                  <c:v>5.37</c:v>
                </c:pt>
                <c:pt idx="10">
                  <c:v>1.1599999999999999</c:v>
                </c:pt>
                <c:pt idx="11">
                  <c:v>6.5</c:v>
                </c:pt>
                <c:pt idx="12">
                  <c:v>1.85</c:v>
                </c:pt>
                <c:pt idx="13">
                  <c:v>6.71</c:v>
                </c:pt>
                <c:pt idx="14">
                  <c:v>6.81</c:v>
                </c:pt>
                <c:pt idx="15">
                  <c:v>6.98</c:v>
                </c:pt>
                <c:pt idx="16">
                  <c:v>5.22</c:v>
                </c:pt>
                <c:pt idx="17">
                  <c:v>6.07</c:v>
                </c:pt>
                <c:pt idx="18">
                  <c:v>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8-4387-B261-9E835568E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205573"/>
        <c:axId val="59766325"/>
      </c:barChart>
      <c:catAx>
        <c:axId val="5120557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Complaint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66325"/>
        <c:crosses val="autoZero"/>
        <c:auto val="1"/>
        <c:lblAlgn val="ctr"/>
        <c:lblOffset val="100"/>
        <c:noMultiLvlLbl val="0"/>
      </c:catAx>
      <c:valAx>
        <c:axId val="597663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2055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AsIs_vs_ToBe!$B$4</c:f>
              <c:strCache>
                <c:ptCount val="1"/>
                <c:pt idx="0">
                  <c:v>As-Is (Current)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AsIs_vs_ToBe!$A$5:$A$7</c:f>
              <c:strCache>
                <c:ptCount val="3"/>
                <c:pt idx="0">
                  <c:v>Average Cycle Time (mins)</c:v>
                </c:pt>
                <c:pt idx="1">
                  <c:v>Average Waiting Time (mins)</c:v>
                </c:pt>
                <c:pt idx="2">
                  <c:v>Average Approval Time (mins)</c:v>
                </c:pt>
              </c:strCache>
            </c:strRef>
          </c:cat>
          <c:val>
            <c:numRef>
              <c:f>AsIs_vs_ToBe!$B$5:$B$7</c:f>
              <c:numCache>
                <c:formatCode>General</c:formatCode>
                <c:ptCount val="3"/>
                <c:pt idx="0">
                  <c:v>37.6</c:v>
                </c:pt>
                <c:pt idx="1">
                  <c:v>13.3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B-47C2-AC95-DEA230F751EE}"/>
            </c:ext>
          </c:extLst>
        </c:ser>
        <c:ser>
          <c:idx val="1"/>
          <c:order val="1"/>
          <c:tx>
            <c:strRef>
              <c:f>AsIs_vs_ToBe!$C$4</c:f>
              <c:strCache>
                <c:ptCount val="1"/>
                <c:pt idx="0">
                  <c:v>To-Be (Projected)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AsIs_vs_ToBe!$A$5:$A$7</c:f>
              <c:strCache>
                <c:ptCount val="3"/>
                <c:pt idx="0">
                  <c:v>Average Cycle Time (mins)</c:v>
                </c:pt>
                <c:pt idx="1">
                  <c:v>Average Waiting Time (mins)</c:v>
                </c:pt>
                <c:pt idx="2">
                  <c:v>Average Approval Time (mins)</c:v>
                </c:pt>
              </c:strCache>
            </c:strRef>
          </c:cat>
          <c:val>
            <c:numRef>
              <c:f>AsIs_vs_ToBe!$C$5:$C$7</c:f>
              <c:numCache>
                <c:formatCode>General</c:formatCode>
                <c:ptCount val="3"/>
                <c:pt idx="0">
                  <c:v>20.68</c:v>
                </c:pt>
                <c:pt idx="1">
                  <c:v>5.99</c:v>
                </c:pt>
                <c:pt idx="2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B-47C2-AC95-DEA230F75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03791"/>
        <c:axId val="55535999"/>
      </c:barChart>
      <c:catAx>
        <c:axId val="217037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35999"/>
        <c:crosses val="autoZero"/>
        <c:auto val="1"/>
        <c:lblAlgn val="ctr"/>
        <c:lblOffset val="100"/>
        <c:noMultiLvlLbl val="0"/>
      </c:catAx>
      <c:valAx>
        <c:axId val="555359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037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[1]AsIs_vs_ToBe!$B$4</c:f>
              <c:strCache>
                <c:ptCount val="1"/>
                <c:pt idx="0">
                  <c:v>As-Is (Current)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[1]AsIs_vs_ToBe!$A$9:$A$13</c:f>
              <c:strCache>
                <c:ptCount val="5"/>
                <c:pt idx="0">
                  <c:v>Error Rate (%)</c:v>
                </c:pt>
                <c:pt idx="1">
                  <c:v>Rework Rate (%)</c:v>
                </c:pt>
                <c:pt idx="2">
                  <c:v>SLA Achievement (%)</c:v>
                </c:pt>
                <c:pt idx="3">
                  <c:v>Customer Complaint Rate (%)</c:v>
                </c:pt>
                <c:pt idx="4">
                  <c:v>Productivity (%)</c:v>
                </c:pt>
              </c:strCache>
            </c:strRef>
          </c:cat>
          <c:val>
            <c:numRef>
              <c:f>[1]AsIs_vs_ToBe!$B$9:$B$13</c:f>
              <c:numCache>
                <c:formatCode>General</c:formatCode>
                <c:ptCount val="5"/>
                <c:pt idx="0">
                  <c:v>7.12</c:v>
                </c:pt>
                <c:pt idx="1">
                  <c:v>6.09</c:v>
                </c:pt>
                <c:pt idx="2">
                  <c:v>48.8</c:v>
                </c:pt>
                <c:pt idx="3">
                  <c:v>5.43</c:v>
                </c:pt>
                <c:pt idx="4">
                  <c:v>93.2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1-40A9-986E-00E3EDEEB897}"/>
            </c:ext>
          </c:extLst>
        </c:ser>
        <c:ser>
          <c:idx val="1"/>
          <c:order val="1"/>
          <c:tx>
            <c:strRef>
              <c:f>[1]AsIs_vs_ToBe!$C$4</c:f>
              <c:strCache>
                <c:ptCount val="1"/>
                <c:pt idx="0">
                  <c:v>To-Be (Projected)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[1]AsIs_vs_ToBe!$A$9:$A$13</c:f>
              <c:strCache>
                <c:ptCount val="5"/>
                <c:pt idx="0">
                  <c:v>Error Rate (%)</c:v>
                </c:pt>
                <c:pt idx="1">
                  <c:v>Rework Rate (%)</c:v>
                </c:pt>
                <c:pt idx="2">
                  <c:v>SLA Achievement (%)</c:v>
                </c:pt>
                <c:pt idx="3">
                  <c:v>Customer Complaint Rate (%)</c:v>
                </c:pt>
                <c:pt idx="4">
                  <c:v>Productivity (%)</c:v>
                </c:pt>
              </c:strCache>
            </c:strRef>
          </c:cat>
          <c:val>
            <c:numRef>
              <c:f>[1]AsIs_vs_ToBe!$C$9:$C$13</c:f>
              <c:numCache>
                <c:formatCode>General</c:formatCode>
                <c:ptCount val="5"/>
                <c:pt idx="0">
                  <c:v>3.56</c:v>
                </c:pt>
                <c:pt idx="1">
                  <c:v>3.35</c:v>
                </c:pt>
                <c:pt idx="2">
                  <c:v>57.58</c:v>
                </c:pt>
                <c:pt idx="3">
                  <c:v>2.17</c:v>
                </c:pt>
                <c:pt idx="4">
                  <c:v>104.38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1-40A9-986E-00E3EDEEB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13094"/>
        <c:axId val="85293308"/>
      </c:barChart>
      <c:catAx>
        <c:axId val="239130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293308"/>
        <c:crosses val="autoZero"/>
        <c:auto val="1"/>
        <c:lblAlgn val="ctr"/>
        <c:lblOffset val="100"/>
        <c:noMultiLvlLbl val="0"/>
      </c:catAx>
      <c:valAx>
        <c:axId val="852933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13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As-Is vs To-Be: Cycle Time, Waiting Time, Approval Time, Error Rate, Rework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AsIs_vs_ToBe!$B$4</c:f>
              <c:strCache>
                <c:ptCount val="1"/>
                <c:pt idx="0">
                  <c:v>As-Is (Current)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AsIs_vs_ToBe!$A$5:$A$10</c:f>
              <c:strCache>
                <c:ptCount val="6"/>
                <c:pt idx="0">
                  <c:v>Average Cycle Time (mins)</c:v>
                </c:pt>
                <c:pt idx="1">
                  <c:v>Average Waiting Time (mins)</c:v>
                </c:pt>
                <c:pt idx="2">
                  <c:v>Average Approval Time (mins)</c:v>
                </c:pt>
                <c:pt idx="3">
                  <c:v>Total Process Cost ($)</c:v>
                </c:pt>
                <c:pt idx="4">
                  <c:v>Error Rate (%)</c:v>
                </c:pt>
                <c:pt idx="5">
                  <c:v>Rework Rate (%)</c:v>
                </c:pt>
              </c:strCache>
            </c:strRef>
          </c:cat>
          <c:val>
            <c:numRef>
              <c:f>AsIs_vs_ToBe!$B$5:$B$10</c:f>
              <c:numCache>
                <c:formatCode>General</c:formatCode>
                <c:ptCount val="6"/>
                <c:pt idx="0">
                  <c:v>37.6</c:v>
                </c:pt>
                <c:pt idx="1">
                  <c:v>13.3</c:v>
                </c:pt>
                <c:pt idx="2">
                  <c:v>6</c:v>
                </c:pt>
                <c:pt idx="3">
                  <c:v>74660.58</c:v>
                </c:pt>
                <c:pt idx="4">
                  <c:v>7.12</c:v>
                </c:pt>
                <c:pt idx="5">
                  <c:v>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C-4BFA-9FD5-672BC591CC6C}"/>
            </c:ext>
          </c:extLst>
        </c:ser>
        <c:ser>
          <c:idx val="1"/>
          <c:order val="1"/>
          <c:tx>
            <c:strRef>
              <c:f>AsIs_vs_ToBe!$C$4</c:f>
              <c:strCache>
                <c:ptCount val="1"/>
                <c:pt idx="0">
                  <c:v>To-Be (Projected)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AsIs_vs_ToBe!$A$5:$A$10</c:f>
              <c:strCache>
                <c:ptCount val="6"/>
                <c:pt idx="0">
                  <c:v>Average Cycle Time (mins)</c:v>
                </c:pt>
                <c:pt idx="1">
                  <c:v>Average Waiting Time (mins)</c:v>
                </c:pt>
                <c:pt idx="2">
                  <c:v>Average Approval Time (mins)</c:v>
                </c:pt>
                <c:pt idx="3">
                  <c:v>Total Process Cost ($)</c:v>
                </c:pt>
                <c:pt idx="4">
                  <c:v>Error Rate (%)</c:v>
                </c:pt>
                <c:pt idx="5">
                  <c:v>Rework Rate (%)</c:v>
                </c:pt>
              </c:strCache>
            </c:strRef>
          </c:cat>
          <c:val>
            <c:numRef>
              <c:f>AsIs_vs_ToBe!$C$5:$C$10</c:f>
              <c:numCache>
                <c:formatCode>General</c:formatCode>
                <c:ptCount val="6"/>
                <c:pt idx="0">
                  <c:v>20.68</c:v>
                </c:pt>
                <c:pt idx="1">
                  <c:v>5.99</c:v>
                </c:pt>
                <c:pt idx="2">
                  <c:v>2.4</c:v>
                </c:pt>
                <c:pt idx="3">
                  <c:v>55995.44</c:v>
                </c:pt>
                <c:pt idx="4">
                  <c:v>3.56</c:v>
                </c:pt>
                <c:pt idx="5">
                  <c:v>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C-4BFA-9FD5-672BC591C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33555"/>
        <c:axId val="12372668"/>
      </c:barChart>
      <c:catAx>
        <c:axId val="838335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KPI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72668"/>
        <c:crosses val="autoZero"/>
        <c:auto val="1"/>
        <c:lblAlgn val="ctr"/>
        <c:lblOffset val="100"/>
        <c:noMultiLvlLbl val="0"/>
      </c:catAx>
      <c:valAx>
        <c:axId val="12372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33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Impact vs Effort — Improvement Opportunities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Opportunities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Improvement_Opportunity_Matrix!$D$5:$D$23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</c:numCache>
            </c:numRef>
          </c:xVal>
          <c:yVal>
            <c:numRef>
              <c:f>Improvement_Opportunity_Matrix!$C$5:$C$23</c:f>
              <c:numCache>
                <c:formatCode>General</c:formatCode>
                <c:ptCount val="19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7E-4E89-A5FD-6732092AB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85012"/>
        <c:axId val="69746487"/>
      </c:scatterChart>
      <c:valAx>
        <c:axId val="74985012"/>
        <c:scaling>
          <c:orientation val="minMax"/>
          <c:max val="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Effort (1=Low, 5=High)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746487"/>
        <c:crosses val="autoZero"/>
        <c:crossBetween val="midCat"/>
      </c:valAx>
      <c:valAx>
        <c:axId val="69746487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Impact (1=Low, 5=High)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8501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38520</xdr:colOff>
      <xdr:row>26</xdr:row>
      <xdr:rowOff>3166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14</xdr:col>
      <xdr:colOff>519953</xdr:colOff>
      <xdr:row>26</xdr:row>
      <xdr:rowOff>3166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38520</xdr:colOff>
      <xdr:row>45</xdr:row>
      <xdr:rowOff>3166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188259</xdr:colOff>
      <xdr:row>28</xdr:row>
      <xdr:rowOff>71718</xdr:rowOff>
    </xdr:from>
    <xdr:to>
      <xdr:col>15</xdr:col>
      <xdr:colOff>939522</xdr:colOff>
      <xdr:row>45</xdr:row>
      <xdr:rowOff>74884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8</xdr:col>
      <xdr:colOff>38520</xdr:colOff>
      <xdr:row>65</xdr:row>
      <xdr:rowOff>168840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286870</xdr:colOff>
      <xdr:row>47</xdr:row>
      <xdr:rowOff>62752</xdr:rowOff>
    </xdr:from>
    <xdr:to>
      <xdr:col>14</xdr:col>
      <xdr:colOff>89646</xdr:colOff>
      <xdr:row>65</xdr:row>
      <xdr:rowOff>79913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251012</xdr:colOff>
      <xdr:row>47</xdr:row>
      <xdr:rowOff>44824</xdr:rowOff>
    </xdr:from>
    <xdr:to>
      <xdr:col>20</xdr:col>
      <xdr:colOff>573742</xdr:colOff>
      <xdr:row>65</xdr:row>
      <xdr:rowOff>98612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AECD0A-7F90-4ECF-9961-3CEA32271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130680</xdr:rowOff>
    </xdr:from>
    <xdr:to>
      <xdr:col>5</xdr:col>
      <xdr:colOff>2012400</xdr:colOff>
      <xdr:row>37</xdr:row>
      <xdr:rowOff>88200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153900</xdr:rowOff>
    </xdr:from>
    <xdr:to>
      <xdr:col>17</xdr:col>
      <xdr:colOff>362880</xdr:colOff>
      <xdr:row>18</xdr:row>
      <xdr:rowOff>258000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barati\Downloads\Business_Process_Case_Study_Workbook.xlsx" TargetMode="External"/><Relationship Id="rId1" Type="http://schemas.openxmlformats.org/officeDocument/2006/relationships/externalLinkPath" Target="file:///C:\Users\Debarati\Downloads\Business_Process_Case_Study_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aw_Dataset"/>
      <sheetName val="KPI_Analysis"/>
      <sheetName val="Department_Performance"/>
      <sheetName val="Bottleneck_Analysis"/>
      <sheetName val="AsIs_vs_ToBe"/>
      <sheetName val="Improvement_Opportunity_Matrix"/>
      <sheetName val="Process_Charter"/>
      <sheetName val="SIPOC_Analysis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As-Is (Current)</v>
          </cell>
          <cell r="C4" t="str">
            <v>To-Be (Projected)</v>
          </cell>
        </row>
        <row r="9">
          <cell r="A9" t="str">
            <v>Error Rate (%)</v>
          </cell>
          <cell r="B9">
            <v>7.12</v>
          </cell>
          <cell r="C9">
            <v>3.56</v>
          </cell>
        </row>
        <row r="10">
          <cell r="A10" t="str">
            <v>Rework Rate (%)</v>
          </cell>
          <cell r="B10">
            <v>6.09</v>
          </cell>
          <cell r="C10">
            <v>3.35</v>
          </cell>
        </row>
        <row r="11">
          <cell r="A11" t="str">
            <v>SLA Achievement (%)</v>
          </cell>
          <cell r="B11">
            <v>48.8</v>
          </cell>
          <cell r="C11">
            <v>57.58</v>
          </cell>
        </row>
        <row r="12">
          <cell r="A12" t="str">
            <v>Customer Complaint Rate (%)</v>
          </cell>
          <cell r="B12">
            <v>5.43</v>
          </cell>
          <cell r="C12">
            <v>2.17</v>
          </cell>
        </row>
        <row r="13">
          <cell r="A13" t="str">
            <v>Productivity (%)</v>
          </cell>
          <cell r="B13">
            <v>93.2</v>
          </cell>
          <cell r="C13">
            <v>104.38</v>
          </cell>
        </row>
      </sheetData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U131" totalsRowShown="0">
  <autoFilter ref="A1:U131" xr:uid="{00000000-0009-0000-0100-000001000000}"/>
  <tableColumns count="21">
    <tableColumn id="1" xr3:uid="{00000000-0010-0000-0000-000001000000}" name="Process ID"/>
    <tableColumn id="2" xr3:uid="{00000000-0010-0000-0000-000002000000}" name="Process Name"/>
    <tableColumn id="3" xr3:uid="{00000000-0010-0000-0000-000003000000}" name="Department"/>
    <tableColumn id="4" xr3:uid="{00000000-0010-0000-0000-000004000000}" name="Process Owner"/>
    <tableColumn id="5" xr3:uid="{00000000-0010-0000-0000-000005000000}" name="Activity Name"/>
    <tableColumn id="6" xr3:uid="{00000000-0010-0000-0000-000006000000}" name="Activity Start Time"/>
    <tableColumn id="7" xr3:uid="{00000000-0010-0000-0000-000007000000}" name="Activity End Time"/>
    <tableColumn id="8" xr3:uid="{00000000-0010-0000-0000-000008000000}" name="Activity Duration (mins)"/>
    <tableColumn id="9" xr3:uid="{00000000-0010-0000-0000-000009000000}" name="Resource Assigned"/>
    <tableColumn id="10" xr3:uid="{00000000-0010-0000-0000-00000A000000}" name="Task Volume"/>
    <tableColumn id="11" xr3:uid="{00000000-0010-0000-0000-00000B000000}" name="Tasks Completed"/>
    <tableColumn id="12" xr3:uid="{00000000-0010-0000-0000-00000C000000}" name="Error Count"/>
    <tableColumn id="13" xr3:uid="{00000000-0010-0000-0000-00000D000000}" name="Rework Count"/>
    <tableColumn id="14" xr3:uid="{00000000-0010-0000-0000-00000E000000}" name="Waiting Time (mins)"/>
    <tableColumn id="15" xr3:uid="{00000000-0010-0000-0000-00000F000000}" name="Approval Time (mins)"/>
    <tableColumn id="16" xr3:uid="{00000000-0010-0000-0000-000010000000}" name="Process Cost ($)"/>
    <tableColumn id="17" xr3:uid="{00000000-0010-0000-0000-000011000000}" name="SLA Target (mins)"/>
    <tableColumn id="18" xr3:uid="{00000000-0010-0000-0000-000012000000}" name="SLA Achieved"/>
    <tableColumn id="19" xr3:uid="{00000000-0010-0000-0000-000013000000}" name="Customer Complaint Count"/>
    <tableColumn id="20" xr3:uid="{00000000-0010-0000-0000-000014000000}" name="Process Status"/>
    <tableColumn id="21" xr3:uid="{00000000-0010-0000-0000-000015000000}" name="Improvement Opportun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4"/>
  <sheetViews>
    <sheetView showGridLines="0" tabSelected="1" topLeftCell="A40" zoomScale="85" zoomScaleNormal="85" workbookViewId="0">
      <selection activeCell="W62" sqref="W62"/>
    </sheetView>
  </sheetViews>
  <sheetFormatPr defaultColWidth="8.6640625" defaultRowHeight="14.4" x14ac:dyDescent="0.3"/>
  <cols>
    <col min="1" max="14" width="9.5546875" customWidth="1"/>
    <col min="16" max="16" width="20" customWidth="1"/>
  </cols>
  <sheetData>
    <row r="1" spans="1:16" ht="15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P1" s="4" t="s">
        <v>1</v>
      </c>
    </row>
    <row r="2" spans="1:16" ht="15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P2" s="5" t="s">
        <v>2</v>
      </c>
    </row>
    <row r="3" spans="1:16" ht="15" customHeight="1" x14ac:dyDescent="0.3">
      <c r="A3" s="28" t="s">
        <v>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P3" s="5" t="s">
        <v>4</v>
      </c>
    </row>
    <row r="4" spans="1:16" ht="15" customHeight="1" x14ac:dyDescent="0.3">
      <c r="P4" s="5" t="s">
        <v>5</v>
      </c>
    </row>
    <row r="5" spans="1:16" ht="15" customHeight="1" x14ac:dyDescent="0.3">
      <c r="A5" s="29" t="s">
        <v>6</v>
      </c>
      <c r="B5" s="29"/>
      <c r="D5" s="29" t="s">
        <v>7</v>
      </c>
      <c r="E5" s="29"/>
      <c r="G5" s="29" t="s">
        <v>8</v>
      </c>
      <c r="H5" s="29"/>
      <c r="J5" s="29" t="s">
        <v>9</v>
      </c>
      <c r="K5" s="29"/>
      <c r="M5" s="29" t="s">
        <v>10</v>
      </c>
      <c r="N5" s="29"/>
      <c r="P5" s="5" t="s">
        <v>11</v>
      </c>
    </row>
    <row r="6" spans="1:16" ht="15" customHeight="1" x14ac:dyDescent="0.3">
      <c r="A6" s="23" t="str">
        <f>ROUND(KPI_Analysis!H25,1)&amp;" mins"</f>
        <v>37.6 mins</v>
      </c>
      <c r="B6" s="23"/>
      <c r="D6" s="24" t="str">
        <f>ROUND(KPI_Analysis!M25,1)&amp;"%"</f>
        <v>48.8%</v>
      </c>
      <c r="E6" s="24"/>
      <c r="G6" s="25" t="str">
        <f>"$"&amp;TEXT(KPI_Analysis!I25,"#,##0")</f>
        <v>$74,661</v>
      </c>
      <c r="H6" s="25"/>
      <c r="J6" s="26" t="str">
        <f>ROUND(KPI_Analysis!K25,2)&amp;"%"</f>
        <v>7.12%</v>
      </c>
      <c r="K6" s="26"/>
      <c r="M6" s="23" t="str">
        <f>ROUND(KPI_Analysis!O25,1)&amp;"%"</f>
        <v>93.2%</v>
      </c>
      <c r="N6" s="23"/>
      <c r="P6" s="5" t="s">
        <v>12</v>
      </c>
    </row>
    <row r="7" spans="1:16" ht="15" customHeight="1" x14ac:dyDescent="0.3">
      <c r="A7" s="23"/>
      <c r="B7" s="23"/>
      <c r="D7" s="24"/>
      <c r="E7" s="24"/>
      <c r="G7" s="25"/>
      <c r="H7" s="25"/>
      <c r="J7" s="26"/>
      <c r="K7" s="26"/>
      <c r="M7" s="23"/>
      <c r="N7" s="23"/>
    </row>
    <row r="8" spans="1:16" ht="15" customHeight="1" x14ac:dyDescent="0.3">
      <c r="P8" s="21" t="s">
        <v>13</v>
      </c>
    </row>
    <row r="9" spans="1:16" ht="15" customHeight="1" x14ac:dyDescent="0.3">
      <c r="A9" s="18" t="s">
        <v>14</v>
      </c>
      <c r="B9" s="18"/>
      <c r="C9" s="18"/>
      <c r="D9" s="18"/>
      <c r="E9" s="18"/>
      <c r="F9" s="18"/>
      <c r="G9" s="18"/>
      <c r="H9" s="18" t="s">
        <v>15</v>
      </c>
      <c r="I9" s="18"/>
      <c r="J9" s="18"/>
      <c r="K9" s="18"/>
      <c r="L9" s="18"/>
      <c r="M9" s="18"/>
      <c r="N9" s="18"/>
      <c r="P9" s="21"/>
    </row>
    <row r="10" spans="1:16" ht="15" customHeight="1" x14ac:dyDescent="0.3">
      <c r="P10" s="21"/>
    </row>
    <row r="11" spans="1:16" ht="15" customHeight="1" x14ac:dyDescent="0.3">
      <c r="P11" s="21"/>
    </row>
    <row r="12" spans="1:16" ht="15" customHeight="1" x14ac:dyDescent="0.3">
      <c r="P12" s="21"/>
    </row>
    <row r="13" spans="1:16" ht="15" customHeight="1" x14ac:dyDescent="0.3">
      <c r="P13" s="21"/>
    </row>
    <row r="14" spans="1:16" ht="15" customHeight="1" x14ac:dyDescent="0.3">
      <c r="P14" s="21"/>
    </row>
    <row r="28" spans="1:14" ht="15" customHeight="1" x14ac:dyDescent="0.3">
      <c r="A28" s="18" t="s">
        <v>16</v>
      </c>
      <c r="B28" s="18"/>
      <c r="C28" s="18"/>
      <c r="D28" s="18"/>
      <c r="E28" s="18"/>
      <c r="F28" s="18"/>
      <c r="G28" s="18"/>
      <c r="H28" s="22" t="s">
        <v>17</v>
      </c>
      <c r="I28" s="22"/>
      <c r="J28" s="22"/>
      <c r="K28" s="22"/>
      <c r="L28" s="22"/>
      <c r="M28" s="22"/>
      <c r="N28" s="22"/>
    </row>
    <row r="47" spans="1:21" ht="15" customHeight="1" x14ac:dyDescent="0.3">
      <c r="A47" s="18" t="s">
        <v>18</v>
      </c>
      <c r="B47" s="18"/>
      <c r="C47" s="18"/>
      <c r="D47" s="18"/>
      <c r="E47" s="18"/>
      <c r="F47" s="18"/>
      <c r="G47" s="18"/>
      <c r="H47" s="20" t="s">
        <v>19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67" spans="1:14" ht="15" customHeight="1" x14ac:dyDescent="0.3">
      <c r="A67" s="18" t="s">
        <v>20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customHeight="1" x14ac:dyDescent="0.3">
      <c r="A68" s="3" t="s">
        <v>21</v>
      </c>
      <c r="B68" s="19" t="s">
        <v>22</v>
      </c>
      <c r="C68" s="19"/>
      <c r="D68" s="19"/>
      <c r="E68" s="19"/>
      <c r="F68" s="19"/>
      <c r="G68" s="19"/>
      <c r="H68" s="19"/>
      <c r="I68" s="19" t="s">
        <v>23</v>
      </c>
      <c r="J68" s="19"/>
      <c r="K68" s="19" t="s">
        <v>24</v>
      </c>
      <c r="L68" s="19"/>
      <c r="M68" s="19" t="s">
        <v>25</v>
      </c>
      <c r="N68" s="19"/>
    </row>
    <row r="69" spans="1:14" ht="24" customHeight="1" x14ac:dyDescent="0.3">
      <c r="A69" s="1" t="s">
        <v>26</v>
      </c>
      <c r="B69" s="16" t="s">
        <v>27</v>
      </c>
      <c r="C69" s="16"/>
      <c r="D69" s="16"/>
      <c r="E69" s="16"/>
      <c r="F69" s="16"/>
      <c r="G69" s="16"/>
      <c r="H69" s="16"/>
      <c r="I69" s="16" t="s">
        <v>28</v>
      </c>
      <c r="J69" s="16"/>
      <c r="K69" s="17" t="s">
        <v>29</v>
      </c>
      <c r="L69" s="17"/>
      <c r="M69" s="17" t="s">
        <v>30</v>
      </c>
      <c r="N69" s="17"/>
    </row>
    <row r="70" spans="1:14" ht="24" customHeight="1" x14ac:dyDescent="0.3">
      <c r="A70" s="1" t="s">
        <v>31</v>
      </c>
      <c r="B70" s="16" t="s">
        <v>32</v>
      </c>
      <c r="C70" s="16"/>
      <c r="D70" s="16"/>
      <c r="E70" s="16"/>
      <c r="F70" s="16"/>
      <c r="G70" s="16"/>
      <c r="H70" s="16"/>
      <c r="I70" s="16" t="s">
        <v>33</v>
      </c>
      <c r="J70" s="16"/>
      <c r="K70" s="17" t="s">
        <v>29</v>
      </c>
      <c r="L70" s="17"/>
      <c r="M70" s="17" t="s">
        <v>34</v>
      </c>
      <c r="N70" s="17"/>
    </row>
    <row r="71" spans="1:14" ht="24" customHeight="1" x14ac:dyDescent="0.3">
      <c r="A71" s="1" t="s">
        <v>35</v>
      </c>
      <c r="B71" s="16" t="s">
        <v>36</v>
      </c>
      <c r="C71" s="16"/>
      <c r="D71" s="16"/>
      <c r="E71" s="16"/>
      <c r="F71" s="16"/>
      <c r="G71" s="16"/>
      <c r="H71" s="16"/>
      <c r="I71" s="16" t="s">
        <v>37</v>
      </c>
      <c r="J71" s="16"/>
      <c r="K71" s="17" t="s">
        <v>34</v>
      </c>
      <c r="L71" s="17"/>
      <c r="M71" s="17" t="s">
        <v>34</v>
      </c>
      <c r="N71" s="17"/>
    </row>
    <row r="72" spans="1:14" ht="24" customHeight="1" x14ac:dyDescent="0.3">
      <c r="A72" s="1" t="s">
        <v>38</v>
      </c>
      <c r="B72" s="16" t="s">
        <v>39</v>
      </c>
      <c r="C72" s="16"/>
      <c r="D72" s="16"/>
      <c r="E72" s="16"/>
      <c r="F72" s="16"/>
      <c r="G72" s="16"/>
      <c r="H72" s="16"/>
      <c r="I72" s="16" t="s">
        <v>40</v>
      </c>
      <c r="J72" s="16"/>
      <c r="K72" s="17" t="s">
        <v>34</v>
      </c>
      <c r="L72" s="17"/>
      <c r="M72" s="17" t="s">
        <v>30</v>
      </c>
      <c r="N72" s="17"/>
    </row>
    <row r="73" spans="1:14" ht="24" customHeight="1" x14ac:dyDescent="0.3">
      <c r="A73" s="1" t="s">
        <v>41</v>
      </c>
      <c r="B73" s="16" t="s">
        <v>42</v>
      </c>
      <c r="C73" s="16"/>
      <c r="D73" s="16"/>
      <c r="E73" s="16"/>
      <c r="F73" s="16"/>
      <c r="G73" s="16"/>
      <c r="H73" s="16"/>
      <c r="I73" s="16" t="s">
        <v>43</v>
      </c>
      <c r="J73" s="16"/>
      <c r="K73" s="17" t="s">
        <v>29</v>
      </c>
      <c r="L73" s="17"/>
      <c r="M73" s="17" t="s">
        <v>34</v>
      </c>
      <c r="N73" s="17"/>
    </row>
    <row r="74" spans="1:14" ht="24" customHeight="1" x14ac:dyDescent="0.3">
      <c r="A74" s="1" t="s">
        <v>44</v>
      </c>
      <c r="B74" s="16" t="s">
        <v>45</v>
      </c>
      <c r="C74" s="16"/>
      <c r="D74" s="16"/>
      <c r="E74" s="16"/>
      <c r="F74" s="16"/>
      <c r="G74" s="16"/>
      <c r="H74" s="16"/>
      <c r="I74" s="16" t="s">
        <v>28</v>
      </c>
      <c r="J74" s="16"/>
      <c r="K74" s="17" t="s">
        <v>34</v>
      </c>
      <c r="L74" s="17"/>
      <c r="M74" s="17" t="s">
        <v>30</v>
      </c>
      <c r="N74" s="17"/>
    </row>
  </sheetData>
  <mergeCells count="48">
    <mergeCell ref="A1:N2"/>
    <mergeCell ref="A3:N3"/>
    <mergeCell ref="A5:B5"/>
    <mergeCell ref="D5:E5"/>
    <mergeCell ref="G5:H5"/>
    <mergeCell ref="J5:K5"/>
    <mergeCell ref="M5:N5"/>
    <mergeCell ref="A6:B7"/>
    <mergeCell ref="D6:E7"/>
    <mergeCell ref="G6:H7"/>
    <mergeCell ref="J6:K7"/>
    <mergeCell ref="M6:N7"/>
    <mergeCell ref="P8:P14"/>
    <mergeCell ref="A9:G9"/>
    <mergeCell ref="H9:N9"/>
    <mergeCell ref="A28:G28"/>
    <mergeCell ref="H28:N28"/>
    <mergeCell ref="A47:G47"/>
    <mergeCell ref="A67:N67"/>
    <mergeCell ref="B68:H68"/>
    <mergeCell ref="I68:J68"/>
    <mergeCell ref="K68:L68"/>
    <mergeCell ref="M68:N68"/>
    <mergeCell ref="H47:U47"/>
    <mergeCell ref="B69:H69"/>
    <mergeCell ref="I69:J69"/>
    <mergeCell ref="K69:L69"/>
    <mergeCell ref="M69:N69"/>
    <mergeCell ref="B70:H70"/>
    <mergeCell ref="I70:J70"/>
    <mergeCell ref="K70:L70"/>
    <mergeCell ref="M70:N70"/>
    <mergeCell ref="B71:H71"/>
    <mergeCell ref="I71:J71"/>
    <mergeCell ref="K71:L71"/>
    <mergeCell ref="M71:N71"/>
    <mergeCell ref="B72:H72"/>
    <mergeCell ref="I72:J72"/>
    <mergeCell ref="K72:L72"/>
    <mergeCell ref="M72:N72"/>
    <mergeCell ref="B73:H73"/>
    <mergeCell ref="I73:J73"/>
    <mergeCell ref="K73:L73"/>
    <mergeCell ref="M73:N73"/>
    <mergeCell ref="B74:H74"/>
    <mergeCell ref="I74:J74"/>
    <mergeCell ref="K74:L74"/>
    <mergeCell ref="M74:N74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6" customWidth="1"/>
    <col min="4" max="4" width="15" customWidth="1"/>
    <col min="5" max="5" width="22" customWidth="1"/>
    <col min="6" max="7" width="16" customWidth="1"/>
    <col min="8" max="8" width="14" customWidth="1"/>
    <col min="9" max="9" width="18" customWidth="1"/>
    <col min="10" max="10" width="11" customWidth="1"/>
    <col min="11" max="11" width="13" customWidth="1"/>
    <col min="12" max="12" width="11" customWidth="1"/>
    <col min="13" max="13" width="12" customWidth="1"/>
    <col min="14" max="14" width="14" customWidth="1"/>
    <col min="15" max="15" width="15" customWidth="1"/>
    <col min="16" max="17" width="13" customWidth="1"/>
    <col min="18" max="18" width="12" customWidth="1"/>
    <col min="19" max="20" width="14" customWidth="1"/>
    <col min="21" max="21" width="40" customWidth="1"/>
  </cols>
  <sheetData>
    <row r="1" spans="1:21" ht="41.25" customHeight="1" x14ac:dyDescent="0.3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S1" s="6" t="s">
        <v>64</v>
      </c>
      <c r="T1" s="6" t="s">
        <v>65</v>
      </c>
      <c r="U1" s="6" t="s">
        <v>66</v>
      </c>
    </row>
    <row r="2" spans="1:21" ht="15" customHeight="1" x14ac:dyDescent="0.3">
      <c r="A2" s="7" t="s">
        <v>67</v>
      </c>
      <c r="B2" s="7" t="s">
        <v>68</v>
      </c>
      <c r="C2" s="7" t="s">
        <v>33</v>
      </c>
      <c r="D2" s="7" t="s">
        <v>69</v>
      </c>
      <c r="E2" s="7" t="s">
        <v>70</v>
      </c>
      <c r="F2" s="8" t="s">
        <v>71</v>
      </c>
      <c r="G2" s="8" t="s">
        <v>72</v>
      </c>
      <c r="H2" s="8">
        <v>18</v>
      </c>
      <c r="I2" s="7" t="s">
        <v>73</v>
      </c>
      <c r="J2" s="8">
        <v>46</v>
      </c>
      <c r="K2" s="8">
        <v>40</v>
      </c>
      <c r="L2" s="8">
        <v>3</v>
      </c>
      <c r="M2" s="8">
        <v>3</v>
      </c>
      <c r="N2" s="8">
        <v>7</v>
      </c>
      <c r="O2" s="8">
        <v>2</v>
      </c>
      <c r="P2" s="8">
        <v>240.58</v>
      </c>
      <c r="Q2" s="8">
        <v>25</v>
      </c>
      <c r="R2" s="8" t="s">
        <v>74</v>
      </c>
      <c r="S2" s="8">
        <v>3</v>
      </c>
      <c r="T2" s="8" t="s">
        <v>75</v>
      </c>
      <c r="U2" s="7" t="s">
        <v>76</v>
      </c>
    </row>
    <row r="3" spans="1:21" ht="15" customHeight="1" x14ac:dyDescent="0.3">
      <c r="A3" s="7" t="s">
        <v>77</v>
      </c>
      <c r="B3" s="7" t="s">
        <v>68</v>
      </c>
      <c r="C3" s="7" t="s">
        <v>37</v>
      </c>
      <c r="D3" s="7" t="s">
        <v>78</v>
      </c>
      <c r="E3" s="7" t="s">
        <v>79</v>
      </c>
      <c r="F3" s="8" t="s">
        <v>80</v>
      </c>
      <c r="G3" s="8" t="s">
        <v>81</v>
      </c>
      <c r="H3" s="8">
        <v>13</v>
      </c>
      <c r="I3" s="7" t="s">
        <v>82</v>
      </c>
      <c r="J3" s="8">
        <v>79</v>
      </c>
      <c r="K3" s="8">
        <v>71</v>
      </c>
      <c r="L3" s="8">
        <v>6</v>
      </c>
      <c r="M3" s="8">
        <v>10</v>
      </c>
      <c r="N3" s="8">
        <v>30</v>
      </c>
      <c r="O3" s="8">
        <v>0</v>
      </c>
      <c r="P3" s="8">
        <v>304.94</v>
      </c>
      <c r="Q3" s="8">
        <v>20</v>
      </c>
      <c r="R3" s="8" t="s">
        <v>83</v>
      </c>
      <c r="S3" s="8">
        <v>3</v>
      </c>
      <c r="T3" s="8" t="s">
        <v>84</v>
      </c>
      <c r="U3" s="7" t="s">
        <v>85</v>
      </c>
    </row>
    <row r="4" spans="1:21" ht="15" customHeight="1" x14ac:dyDescent="0.3">
      <c r="A4" s="7" t="s">
        <v>86</v>
      </c>
      <c r="B4" s="7" t="s">
        <v>68</v>
      </c>
      <c r="C4" s="7" t="s">
        <v>33</v>
      </c>
      <c r="D4" s="7" t="s">
        <v>87</v>
      </c>
      <c r="E4" s="7" t="s">
        <v>88</v>
      </c>
      <c r="F4" s="8" t="s">
        <v>89</v>
      </c>
      <c r="G4" s="8" t="s">
        <v>90</v>
      </c>
      <c r="H4" s="8">
        <v>16</v>
      </c>
      <c r="I4" s="7" t="s">
        <v>91</v>
      </c>
      <c r="J4" s="8">
        <v>21</v>
      </c>
      <c r="K4" s="8">
        <v>19</v>
      </c>
      <c r="L4" s="8">
        <v>1</v>
      </c>
      <c r="M4" s="8">
        <v>1</v>
      </c>
      <c r="N4" s="8">
        <v>3</v>
      </c>
      <c r="O4" s="8">
        <v>1</v>
      </c>
      <c r="P4" s="8">
        <v>109.83</v>
      </c>
      <c r="Q4" s="8">
        <v>20</v>
      </c>
      <c r="R4" s="8" t="s">
        <v>74</v>
      </c>
      <c r="S4" s="8">
        <v>0</v>
      </c>
      <c r="T4" s="8" t="s">
        <v>75</v>
      </c>
      <c r="U4" s="7" t="s">
        <v>92</v>
      </c>
    </row>
    <row r="5" spans="1:21" ht="15" customHeight="1" x14ac:dyDescent="0.3">
      <c r="A5" s="7" t="s">
        <v>93</v>
      </c>
      <c r="B5" s="7" t="s">
        <v>68</v>
      </c>
      <c r="C5" s="7" t="s">
        <v>33</v>
      </c>
      <c r="D5" s="7" t="s">
        <v>87</v>
      </c>
      <c r="E5" s="7" t="s">
        <v>94</v>
      </c>
      <c r="F5" s="8" t="s">
        <v>95</v>
      </c>
      <c r="G5" s="8" t="s">
        <v>96</v>
      </c>
      <c r="H5" s="8">
        <v>5</v>
      </c>
      <c r="I5" s="7" t="s">
        <v>97</v>
      </c>
      <c r="J5" s="8">
        <v>106</v>
      </c>
      <c r="K5" s="8">
        <v>93</v>
      </c>
      <c r="L5" s="8">
        <v>13</v>
      </c>
      <c r="M5" s="8">
        <v>11</v>
      </c>
      <c r="N5" s="8">
        <v>9</v>
      </c>
      <c r="O5" s="8">
        <v>0</v>
      </c>
      <c r="P5" s="8">
        <v>712.32</v>
      </c>
      <c r="Q5" s="8">
        <v>30</v>
      </c>
      <c r="R5" s="8" t="s">
        <v>74</v>
      </c>
      <c r="S5" s="8">
        <v>4</v>
      </c>
      <c r="T5" s="8" t="s">
        <v>75</v>
      </c>
      <c r="U5" s="7" t="s">
        <v>98</v>
      </c>
    </row>
    <row r="6" spans="1:21" ht="15" customHeight="1" x14ac:dyDescent="0.3">
      <c r="A6" s="7" t="s">
        <v>99</v>
      </c>
      <c r="B6" s="7" t="s">
        <v>68</v>
      </c>
      <c r="C6" s="7" t="s">
        <v>37</v>
      </c>
      <c r="D6" s="7" t="s">
        <v>78</v>
      </c>
      <c r="E6" s="7" t="s">
        <v>100</v>
      </c>
      <c r="F6" s="8" t="s">
        <v>101</v>
      </c>
      <c r="G6" s="8" t="s">
        <v>102</v>
      </c>
      <c r="H6" s="8">
        <v>5</v>
      </c>
      <c r="I6" s="7" t="s">
        <v>97</v>
      </c>
      <c r="J6" s="8">
        <v>31</v>
      </c>
      <c r="K6" s="8">
        <v>27</v>
      </c>
      <c r="L6" s="8">
        <v>0</v>
      </c>
      <c r="M6" s="8">
        <v>0</v>
      </c>
      <c r="N6" s="8">
        <v>6</v>
      </c>
      <c r="O6" s="8">
        <v>1</v>
      </c>
      <c r="P6" s="8">
        <v>102.92</v>
      </c>
      <c r="Q6" s="8">
        <v>15</v>
      </c>
      <c r="R6" s="8" t="s">
        <v>74</v>
      </c>
      <c r="S6" s="8">
        <v>0</v>
      </c>
      <c r="T6" s="8" t="s">
        <v>75</v>
      </c>
      <c r="U6" s="7" t="s">
        <v>103</v>
      </c>
    </row>
    <row r="7" spans="1:21" ht="15" customHeight="1" x14ac:dyDescent="0.3">
      <c r="A7" s="7" t="s">
        <v>104</v>
      </c>
      <c r="B7" s="7" t="s">
        <v>68</v>
      </c>
      <c r="C7" s="7" t="s">
        <v>37</v>
      </c>
      <c r="D7" s="7" t="s">
        <v>78</v>
      </c>
      <c r="E7" s="7" t="s">
        <v>79</v>
      </c>
      <c r="F7" s="8" t="s">
        <v>105</v>
      </c>
      <c r="G7" s="8" t="s">
        <v>106</v>
      </c>
      <c r="H7" s="8">
        <v>12</v>
      </c>
      <c r="I7" s="7" t="s">
        <v>107</v>
      </c>
      <c r="J7" s="8">
        <v>178</v>
      </c>
      <c r="K7" s="8">
        <v>160</v>
      </c>
      <c r="L7" s="8">
        <v>5</v>
      </c>
      <c r="M7" s="8">
        <v>18</v>
      </c>
      <c r="N7" s="8">
        <v>27</v>
      </c>
      <c r="O7" s="8">
        <v>1</v>
      </c>
      <c r="P7" s="8">
        <v>968.32</v>
      </c>
      <c r="Q7" s="8">
        <v>20</v>
      </c>
      <c r="R7" s="8" t="s">
        <v>83</v>
      </c>
      <c r="S7" s="8">
        <v>13</v>
      </c>
      <c r="T7" s="8" t="s">
        <v>75</v>
      </c>
      <c r="U7" s="7" t="s">
        <v>85</v>
      </c>
    </row>
    <row r="8" spans="1:21" ht="15" customHeight="1" x14ac:dyDescent="0.3">
      <c r="A8" s="7" t="s">
        <v>108</v>
      </c>
      <c r="B8" s="7" t="s">
        <v>68</v>
      </c>
      <c r="C8" s="7" t="s">
        <v>33</v>
      </c>
      <c r="D8" s="7" t="s">
        <v>69</v>
      </c>
      <c r="E8" s="7" t="s">
        <v>88</v>
      </c>
      <c r="F8" s="8" t="s">
        <v>109</v>
      </c>
      <c r="G8" s="8" t="s">
        <v>110</v>
      </c>
      <c r="H8" s="8">
        <v>19</v>
      </c>
      <c r="I8" s="7" t="s">
        <v>111</v>
      </c>
      <c r="J8" s="8">
        <v>40</v>
      </c>
      <c r="K8" s="8">
        <v>37</v>
      </c>
      <c r="L8" s="8">
        <v>0</v>
      </c>
      <c r="M8" s="8">
        <v>3</v>
      </c>
      <c r="N8" s="8">
        <v>0</v>
      </c>
      <c r="O8" s="8">
        <v>0</v>
      </c>
      <c r="P8" s="8">
        <v>201.6</v>
      </c>
      <c r="Q8" s="8">
        <v>20</v>
      </c>
      <c r="R8" s="8" t="s">
        <v>74</v>
      </c>
      <c r="S8" s="8">
        <v>1</v>
      </c>
      <c r="T8" s="8" t="s">
        <v>75</v>
      </c>
      <c r="U8" s="7" t="s">
        <v>92</v>
      </c>
    </row>
    <row r="9" spans="1:21" ht="15" customHeight="1" x14ac:dyDescent="0.3">
      <c r="A9" s="7" t="s">
        <v>112</v>
      </c>
      <c r="B9" s="7" t="s">
        <v>68</v>
      </c>
      <c r="C9" s="7" t="s">
        <v>33</v>
      </c>
      <c r="D9" s="7" t="s">
        <v>87</v>
      </c>
      <c r="E9" s="7" t="s">
        <v>70</v>
      </c>
      <c r="F9" s="8" t="s">
        <v>113</v>
      </c>
      <c r="G9" s="8" t="s">
        <v>114</v>
      </c>
      <c r="H9" s="8">
        <v>16</v>
      </c>
      <c r="I9" s="7" t="s">
        <v>115</v>
      </c>
      <c r="J9" s="8">
        <v>73</v>
      </c>
      <c r="K9" s="8">
        <v>71</v>
      </c>
      <c r="L9" s="8">
        <v>9</v>
      </c>
      <c r="M9" s="8">
        <v>5</v>
      </c>
      <c r="N9" s="8">
        <v>2</v>
      </c>
      <c r="O9" s="8">
        <v>0</v>
      </c>
      <c r="P9" s="8">
        <v>266.45</v>
      </c>
      <c r="Q9" s="8">
        <v>25</v>
      </c>
      <c r="R9" s="8" t="s">
        <v>74</v>
      </c>
      <c r="S9" s="8">
        <v>9</v>
      </c>
      <c r="T9" s="8" t="s">
        <v>75</v>
      </c>
      <c r="U9" s="7" t="s">
        <v>76</v>
      </c>
    </row>
    <row r="10" spans="1:21" ht="15" customHeight="1" x14ac:dyDescent="0.3">
      <c r="A10" s="7" t="s">
        <v>116</v>
      </c>
      <c r="B10" s="7" t="s">
        <v>68</v>
      </c>
      <c r="C10" s="7" t="s">
        <v>28</v>
      </c>
      <c r="D10" s="7" t="s">
        <v>117</v>
      </c>
      <c r="E10" s="7" t="s">
        <v>118</v>
      </c>
      <c r="F10" s="8" t="s">
        <v>119</v>
      </c>
      <c r="G10" s="8" t="s">
        <v>120</v>
      </c>
      <c r="H10" s="8">
        <v>13</v>
      </c>
      <c r="I10" s="7" t="s">
        <v>121</v>
      </c>
      <c r="J10" s="8">
        <v>138</v>
      </c>
      <c r="K10" s="8">
        <v>134</v>
      </c>
      <c r="L10" s="8">
        <v>5</v>
      </c>
      <c r="M10" s="8">
        <v>4</v>
      </c>
      <c r="N10" s="8">
        <v>0</v>
      </c>
      <c r="O10" s="8">
        <v>33</v>
      </c>
      <c r="P10" s="8">
        <v>641.70000000000005</v>
      </c>
      <c r="Q10" s="8">
        <v>30</v>
      </c>
      <c r="R10" s="8" t="s">
        <v>83</v>
      </c>
      <c r="S10" s="8">
        <v>7</v>
      </c>
      <c r="T10" s="8" t="s">
        <v>122</v>
      </c>
      <c r="U10" s="7" t="s">
        <v>123</v>
      </c>
    </row>
    <row r="11" spans="1:21" ht="15" customHeight="1" x14ac:dyDescent="0.3">
      <c r="A11" s="7" t="s">
        <v>124</v>
      </c>
      <c r="B11" s="7" t="s">
        <v>68</v>
      </c>
      <c r="C11" s="7" t="s">
        <v>37</v>
      </c>
      <c r="D11" s="7" t="s">
        <v>78</v>
      </c>
      <c r="E11" s="7" t="s">
        <v>79</v>
      </c>
      <c r="F11" s="8" t="s">
        <v>125</v>
      </c>
      <c r="G11" s="8" t="s">
        <v>126</v>
      </c>
      <c r="H11" s="8">
        <v>21</v>
      </c>
      <c r="I11" s="7" t="s">
        <v>127</v>
      </c>
      <c r="J11" s="8">
        <v>100</v>
      </c>
      <c r="K11" s="8">
        <v>88</v>
      </c>
      <c r="L11" s="8">
        <v>3</v>
      </c>
      <c r="M11" s="8">
        <v>9</v>
      </c>
      <c r="N11" s="8">
        <v>3</v>
      </c>
      <c r="O11" s="8">
        <v>5</v>
      </c>
      <c r="P11" s="8">
        <v>412</v>
      </c>
      <c r="Q11" s="8">
        <v>20</v>
      </c>
      <c r="R11" s="8" t="s">
        <v>83</v>
      </c>
      <c r="S11" s="8">
        <v>5</v>
      </c>
      <c r="T11" s="8" t="s">
        <v>75</v>
      </c>
      <c r="U11" s="7" t="s">
        <v>85</v>
      </c>
    </row>
    <row r="12" spans="1:21" ht="15" customHeight="1" x14ac:dyDescent="0.3">
      <c r="A12" s="7" t="s">
        <v>128</v>
      </c>
      <c r="B12" s="7" t="s">
        <v>68</v>
      </c>
      <c r="C12" s="7" t="s">
        <v>37</v>
      </c>
      <c r="D12" s="7" t="s">
        <v>129</v>
      </c>
      <c r="E12" s="7" t="s">
        <v>130</v>
      </c>
      <c r="F12" s="8" t="s">
        <v>131</v>
      </c>
      <c r="G12" s="8" t="s">
        <v>132</v>
      </c>
      <c r="H12" s="8">
        <v>46</v>
      </c>
      <c r="I12" s="7" t="s">
        <v>91</v>
      </c>
      <c r="J12" s="8">
        <v>184</v>
      </c>
      <c r="K12" s="8">
        <v>178</v>
      </c>
      <c r="L12" s="8">
        <v>17</v>
      </c>
      <c r="M12" s="8">
        <v>21</v>
      </c>
      <c r="N12" s="8">
        <v>54</v>
      </c>
      <c r="O12" s="8">
        <v>1</v>
      </c>
      <c r="P12" s="8">
        <v>1402.08</v>
      </c>
      <c r="Q12" s="8">
        <v>40</v>
      </c>
      <c r="R12" s="8" t="s">
        <v>83</v>
      </c>
      <c r="S12" s="8">
        <v>13</v>
      </c>
      <c r="T12" s="8" t="s">
        <v>75</v>
      </c>
      <c r="U12" s="7" t="s">
        <v>133</v>
      </c>
    </row>
    <row r="13" spans="1:21" ht="15" customHeight="1" x14ac:dyDescent="0.3">
      <c r="A13" s="7" t="s">
        <v>134</v>
      </c>
      <c r="B13" s="7" t="s">
        <v>68</v>
      </c>
      <c r="C13" s="7" t="s">
        <v>33</v>
      </c>
      <c r="D13" s="7" t="s">
        <v>87</v>
      </c>
      <c r="E13" s="7" t="s">
        <v>135</v>
      </c>
      <c r="F13" s="8" t="s">
        <v>136</v>
      </c>
      <c r="G13" s="8" t="s">
        <v>137</v>
      </c>
      <c r="H13" s="8">
        <v>16</v>
      </c>
      <c r="I13" s="7" t="s">
        <v>73</v>
      </c>
      <c r="J13" s="8">
        <v>112</v>
      </c>
      <c r="K13" s="8">
        <v>100</v>
      </c>
      <c r="L13" s="8">
        <v>13</v>
      </c>
      <c r="M13" s="8">
        <v>5</v>
      </c>
      <c r="N13" s="8">
        <v>4</v>
      </c>
      <c r="O13" s="8">
        <v>2</v>
      </c>
      <c r="P13" s="8">
        <v>398.72</v>
      </c>
      <c r="Q13" s="8">
        <v>15</v>
      </c>
      <c r="R13" s="8" t="s">
        <v>83</v>
      </c>
      <c r="S13" s="8">
        <v>7</v>
      </c>
      <c r="T13" s="8" t="s">
        <v>122</v>
      </c>
      <c r="U13" s="7" t="s">
        <v>138</v>
      </c>
    </row>
    <row r="14" spans="1:21" ht="15" customHeight="1" x14ac:dyDescent="0.3">
      <c r="A14" s="7" t="s">
        <v>139</v>
      </c>
      <c r="B14" s="7" t="s">
        <v>68</v>
      </c>
      <c r="C14" s="7" t="s">
        <v>140</v>
      </c>
      <c r="D14" s="7" t="s">
        <v>141</v>
      </c>
      <c r="E14" s="7" t="s">
        <v>142</v>
      </c>
      <c r="F14" s="8" t="s">
        <v>143</v>
      </c>
      <c r="G14" s="8" t="s">
        <v>144</v>
      </c>
      <c r="H14" s="8">
        <v>31</v>
      </c>
      <c r="I14" s="7" t="s">
        <v>145</v>
      </c>
      <c r="J14" s="8">
        <v>48</v>
      </c>
      <c r="K14" s="8">
        <v>43</v>
      </c>
      <c r="L14" s="8">
        <v>1</v>
      </c>
      <c r="M14" s="8">
        <v>2</v>
      </c>
      <c r="N14" s="8">
        <v>59</v>
      </c>
      <c r="O14" s="8">
        <v>5</v>
      </c>
      <c r="P14" s="8">
        <v>127.2</v>
      </c>
      <c r="Q14" s="8">
        <v>20</v>
      </c>
      <c r="R14" s="8" t="s">
        <v>83</v>
      </c>
      <c r="S14" s="8">
        <v>2</v>
      </c>
      <c r="T14" s="8" t="s">
        <v>122</v>
      </c>
      <c r="U14" s="7" t="s">
        <v>146</v>
      </c>
    </row>
    <row r="15" spans="1:21" ht="15" customHeight="1" x14ac:dyDescent="0.3">
      <c r="A15" s="7" t="s">
        <v>147</v>
      </c>
      <c r="B15" s="7" t="s">
        <v>68</v>
      </c>
      <c r="C15" s="7" t="s">
        <v>33</v>
      </c>
      <c r="D15" s="7" t="s">
        <v>87</v>
      </c>
      <c r="E15" s="7" t="s">
        <v>94</v>
      </c>
      <c r="F15" s="8" t="s">
        <v>148</v>
      </c>
      <c r="G15" s="8" t="s">
        <v>149</v>
      </c>
      <c r="H15" s="8">
        <v>5</v>
      </c>
      <c r="I15" s="7" t="s">
        <v>82</v>
      </c>
      <c r="J15" s="8">
        <v>139</v>
      </c>
      <c r="K15" s="8">
        <v>136</v>
      </c>
      <c r="L15" s="8">
        <v>20</v>
      </c>
      <c r="M15" s="8">
        <v>15</v>
      </c>
      <c r="N15" s="8">
        <v>1</v>
      </c>
      <c r="O15" s="8">
        <v>7</v>
      </c>
      <c r="P15" s="8">
        <v>988.29</v>
      </c>
      <c r="Q15" s="8">
        <v>30</v>
      </c>
      <c r="R15" s="8" t="s">
        <v>74</v>
      </c>
      <c r="S15" s="8">
        <v>6</v>
      </c>
      <c r="T15" s="8" t="s">
        <v>75</v>
      </c>
      <c r="U15" s="7" t="s">
        <v>98</v>
      </c>
    </row>
    <row r="16" spans="1:21" ht="15" customHeight="1" x14ac:dyDescent="0.3">
      <c r="A16" s="7" t="s">
        <v>150</v>
      </c>
      <c r="B16" s="7" t="s">
        <v>68</v>
      </c>
      <c r="C16" s="7" t="s">
        <v>37</v>
      </c>
      <c r="D16" s="7" t="s">
        <v>78</v>
      </c>
      <c r="E16" s="7" t="s">
        <v>79</v>
      </c>
      <c r="F16" s="8" t="s">
        <v>151</v>
      </c>
      <c r="G16" s="8" t="s">
        <v>152</v>
      </c>
      <c r="H16" s="8">
        <v>15</v>
      </c>
      <c r="I16" s="7" t="s">
        <v>127</v>
      </c>
      <c r="J16" s="8">
        <v>88</v>
      </c>
      <c r="K16" s="8">
        <v>79</v>
      </c>
      <c r="L16" s="8">
        <v>2</v>
      </c>
      <c r="M16" s="8">
        <v>5</v>
      </c>
      <c r="N16" s="8">
        <v>41</v>
      </c>
      <c r="O16" s="8">
        <v>6</v>
      </c>
      <c r="P16" s="8">
        <v>382.8</v>
      </c>
      <c r="Q16" s="8">
        <v>20</v>
      </c>
      <c r="R16" s="8" t="s">
        <v>83</v>
      </c>
      <c r="S16" s="8">
        <v>7</v>
      </c>
      <c r="T16" s="8" t="s">
        <v>75</v>
      </c>
      <c r="U16" s="7" t="s">
        <v>85</v>
      </c>
    </row>
    <row r="17" spans="1:21" ht="15" customHeight="1" x14ac:dyDescent="0.3">
      <c r="A17" s="7" t="s">
        <v>153</v>
      </c>
      <c r="B17" s="7" t="s">
        <v>68</v>
      </c>
      <c r="C17" s="7" t="s">
        <v>40</v>
      </c>
      <c r="D17" s="7" t="s">
        <v>154</v>
      </c>
      <c r="E17" s="7" t="s">
        <v>155</v>
      </c>
      <c r="F17" s="8" t="s">
        <v>156</v>
      </c>
      <c r="G17" s="8" t="s">
        <v>157</v>
      </c>
      <c r="H17" s="8">
        <v>69</v>
      </c>
      <c r="I17" s="7" t="s">
        <v>158</v>
      </c>
      <c r="J17" s="8">
        <v>87</v>
      </c>
      <c r="K17" s="8">
        <v>78</v>
      </c>
      <c r="L17" s="8">
        <v>2</v>
      </c>
      <c r="M17" s="8">
        <v>1</v>
      </c>
      <c r="N17" s="8">
        <v>49</v>
      </c>
      <c r="O17" s="8">
        <v>0</v>
      </c>
      <c r="P17" s="8">
        <v>673.38</v>
      </c>
      <c r="Q17" s="8">
        <v>60</v>
      </c>
      <c r="R17" s="8" t="s">
        <v>83</v>
      </c>
      <c r="S17" s="8">
        <v>4</v>
      </c>
      <c r="T17" s="8" t="s">
        <v>75</v>
      </c>
      <c r="U17" s="7" t="s">
        <v>159</v>
      </c>
    </row>
    <row r="18" spans="1:21" ht="15" customHeight="1" x14ac:dyDescent="0.3">
      <c r="A18" s="7" t="s">
        <v>160</v>
      </c>
      <c r="B18" s="7" t="s">
        <v>68</v>
      </c>
      <c r="C18" s="7" t="s">
        <v>28</v>
      </c>
      <c r="D18" s="7" t="s">
        <v>117</v>
      </c>
      <c r="E18" s="7" t="s">
        <v>161</v>
      </c>
      <c r="F18" s="8" t="s">
        <v>162</v>
      </c>
      <c r="G18" s="8" t="s">
        <v>163</v>
      </c>
      <c r="H18" s="8">
        <v>20</v>
      </c>
      <c r="I18" s="7" t="s">
        <v>127</v>
      </c>
      <c r="J18" s="8">
        <v>115</v>
      </c>
      <c r="K18" s="8">
        <v>114</v>
      </c>
      <c r="L18" s="8">
        <v>12</v>
      </c>
      <c r="M18" s="8">
        <v>18</v>
      </c>
      <c r="N18" s="8">
        <v>4</v>
      </c>
      <c r="O18" s="8">
        <v>3</v>
      </c>
      <c r="P18" s="8">
        <v>575</v>
      </c>
      <c r="Q18" s="8">
        <v>30</v>
      </c>
      <c r="R18" s="8" t="s">
        <v>74</v>
      </c>
      <c r="S18" s="8">
        <v>7</v>
      </c>
      <c r="T18" s="8" t="s">
        <v>164</v>
      </c>
      <c r="U18" s="7" t="s">
        <v>165</v>
      </c>
    </row>
    <row r="19" spans="1:21" ht="15" customHeight="1" x14ac:dyDescent="0.3">
      <c r="A19" s="7" t="s">
        <v>166</v>
      </c>
      <c r="B19" s="7" t="s">
        <v>68</v>
      </c>
      <c r="C19" s="7" t="s">
        <v>33</v>
      </c>
      <c r="D19" s="7" t="s">
        <v>69</v>
      </c>
      <c r="E19" s="7" t="s">
        <v>94</v>
      </c>
      <c r="F19" s="8" t="s">
        <v>167</v>
      </c>
      <c r="G19" s="8" t="s">
        <v>168</v>
      </c>
      <c r="H19" s="8">
        <v>29</v>
      </c>
      <c r="I19" s="7" t="s">
        <v>82</v>
      </c>
      <c r="J19" s="8">
        <v>112</v>
      </c>
      <c r="K19" s="8">
        <v>105</v>
      </c>
      <c r="L19" s="8">
        <v>8</v>
      </c>
      <c r="M19" s="8">
        <v>12</v>
      </c>
      <c r="N19" s="8">
        <v>2</v>
      </c>
      <c r="O19" s="8">
        <v>1</v>
      </c>
      <c r="P19" s="8">
        <v>627.20000000000005</v>
      </c>
      <c r="Q19" s="8">
        <v>30</v>
      </c>
      <c r="R19" s="8" t="s">
        <v>74</v>
      </c>
      <c r="S19" s="8">
        <v>5</v>
      </c>
      <c r="T19" s="8" t="s">
        <v>75</v>
      </c>
      <c r="U19" s="7" t="s">
        <v>98</v>
      </c>
    </row>
    <row r="20" spans="1:21" ht="15" customHeight="1" x14ac:dyDescent="0.3">
      <c r="A20" s="7" t="s">
        <v>169</v>
      </c>
      <c r="B20" s="7" t="s">
        <v>68</v>
      </c>
      <c r="C20" s="7" t="s">
        <v>40</v>
      </c>
      <c r="D20" s="7" t="s">
        <v>170</v>
      </c>
      <c r="E20" s="7" t="s">
        <v>155</v>
      </c>
      <c r="F20" s="8" t="s">
        <v>171</v>
      </c>
      <c r="G20" s="8" t="s">
        <v>172</v>
      </c>
      <c r="H20" s="8">
        <v>40</v>
      </c>
      <c r="I20" s="7" t="s">
        <v>111</v>
      </c>
      <c r="J20" s="8">
        <v>144</v>
      </c>
      <c r="K20" s="8">
        <v>138</v>
      </c>
      <c r="L20" s="8">
        <v>9</v>
      </c>
      <c r="M20" s="8">
        <v>2</v>
      </c>
      <c r="N20" s="8">
        <v>3</v>
      </c>
      <c r="O20" s="8">
        <v>2</v>
      </c>
      <c r="P20" s="8">
        <v>1298.8800000000001</v>
      </c>
      <c r="Q20" s="8">
        <v>60</v>
      </c>
      <c r="R20" s="8" t="s">
        <v>74</v>
      </c>
      <c r="S20" s="8">
        <v>7</v>
      </c>
      <c r="T20" s="8" t="s">
        <v>75</v>
      </c>
      <c r="U20" s="7" t="s">
        <v>159</v>
      </c>
    </row>
    <row r="21" spans="1:21" ht="15" customHeight="1" x14ac:dyDescent="0.3">
      <c r="A21" s="7" t="s">
        <v>173</v>
      </c>
      <c r="B21" s="7" t="s">
        <v>68</v>
      </c>
      <c r="C21" s="7" t="s">
        <v>37</v>
      </c>
      <c r="D21" s="7" t="s">
        <v>78</v>
      </c>
      <c r="E21" s="7" t="s">
        <v>79</v>
      </c>
      <c r="F21" s="8" t="s">
        <v>174</v>
      </c>
      <c r="G21" s="8" t="s">
        <v>175</v>
      </c>
      <c r="H21" s="8">
        <v>18</v>
      </c>
      <c r="I21" s="7" t="s">
        <v>158</v>
      </c>
      <c r="J21" s="8">
        <v>155</v>
      </c>
      <c r="K21" s="8">
        <v>146</v>
      </c>
      <c r="L21" s="8">
        <v>5</v>
      </c>
      <c r="M21" s="8">
        <v>17</v>
      </c>
      <c r="N21" s="8">
        <v>32</v>
      </c>
      <c r="O21" s="8">
        <v>1</v>
      </c>
      <c r="P21" s="8">
        <v>570.4</v>
      </c>
      <c r="Q21" s="8">
        <v>20</v>
      </c>
      <c r="R21" s="8" t="s">
        <v>83</v>
      </c>
      <c r="S21" s="8">
        <v>12</v>
      </c>
      <c r="T21" s="8" t="s">
        <v>75</v>
      </c>
      <c r="U21" s="7" t="s">
        <v>85</v>
      </c>
    </row>
    <row r="22" spans="1:21" ht="15" customHeight="1" x14ac:dyDescent="0.3">
      <c r="A22" s="7" t="s">
        <v>176</v>
      </c>
      <c r="B22" s="7" t="s">
        <v>68</v>
      </c>
      <c r="C22" s="7" t="s">
        <v>33</v>
      </c>
      <c r="D22" s="7" t="s">
        <v>69</v>
      </c>
      <c r="E22" s="7" t="s">
        <v>88</v>
      </c>
      <c r="F22" s="8" t="s">
        <v>177</v>
      </c>
      <c r="G22" s="8" t="s">
        <v>178</v>
      </c>
      <c r="H22" s="8">
        <v>9</v>
      </c>
      <c r="I22" s="7" t="s">
        <v>73</v>
      </c>
      <c r="J22" s="8">
        <v>132</v>
      </c>
      <c r="K22" s="8">
        <v>124</v>
      </c>
      <c r="L22" s="8">
        <v>5</v>
      </c>
      <c r="M22" s="8">
        <v>6</v>
      </c>
      <c r="N22" s="8">
        <v>0</v>
      </c>
      <c r="O22" s="8">
        <v>2</v>
      </c>
      <c r="P22" s="8">
        <v>653.4</v>
      </c>
      <c r="Q22" s="8">
        <v>20</v>
      </c>
      <c r="R22" s="8" t="s">
        <v>74</v>
      </c>
      <c r="S22" s="8">
        <v>2</v>
      </c>
      <c r="T22" s="8" t="s">
        <v>75</v>
      </c>
      <c r="U22" s="7" t="s">
        <v>92</v>
      </c>
    </row>
    <row r="23" spans="1:21" ht="15" customHeight="1" x14ac:dyDescent="0.3">
      <c r="A23" s="7" t="s">
        <v>179</v>
      </c>
      <c r="B23" s="7" t="s">
        <v>68</v>
      </c>
      <c r="C23" s="7" t="s">
        <v>28</v>
      </c>
      <c r="D23" s="7" t="s">
        <v>117</v>
      </c>
      <c r="E23" s="7" t="s">
        <v>180</v>
      </c>
      <c r="F23" s="8" t="s">
        <v>181</v>
      </c>
      <c r="G23" s="8" t="s">
        <v>182</v>
      </c>
      <c r="H23" s="8">
        <v>16</v>
      </c>
      <c r="I23" s="7" t="s">
        <v>91</v>
      </c>
      <c r="J23" s="8">
        <v>25</v>
      </c>
      <c r="K23" s="8">
        <v>22</v>
      </c>
      <c r="L23" s="8">
        <v>0</v>
      </c>
      <c r="M23" s="8">
        <v>2</v>
      </c>
      <c r="N23" s="8">
        <v>4</v>
      </c>
      <c r="O23" s="8">
        <v>23</v>
      </c>
      <c r="P23" s="8">
        <v>79.5</v>
      </c>
      <c r="Q23" s="8">
        <v>20</v>
      </c>
      <c r="R23" s="8" t="s">
        <v>83</v>
      </c>
      <c r="S23" s="8">
        <v>0</v>
      </c>
      <c r="T23" s="8" t="s">
        <v>75</v>
      </c>
      <c r="U23" s="7" t="s">
        <v>183</v>
      </c>
    </row>
    <row r="24" spans="1:21" ht="15" customHeight="1" x14ac:dyDescent="0.3">
      <c r="A24" s="7" t="s">
        <v>184</v>
      </c>
      <c r="B24" s="7" t="s">
        <v>68</v>
      </c>
      <c r="C24" s="7" t="s">
        <v>33</v>
      </c>
      <c r="D24" s="7" t="s">
        <v>69</v>
      </c>
      <c r="E24" s="7" t="s">
        <v>135</v>
      </c>
      <c r="F24" s="8" t="s">
        <v>185</v>
      </c>
      <c r="G24" s="8" t="s">
        <v>186</v>
      </c>
      <c r="H24" s="8">
        <v>14</v>
      </c>
      <c r="I24" s="7" t="s">
        <v>145</v>
      </c>
      <c r="J24" s="8">
        <v>28</v>
      </c>
      <c r="K24" s="8">
        <v>24</v>
      </c>
      <c r="L24" s="8">
        <v>3</v>
      </c>
      <c r="M24" s="8">
        <v>2</v>
      </c>
      <c r="N24" s="8">
        <v>10</v>
      </c>
      <c r="O24" s="8">
        <v>2</v>
      </c>
      <c r="P24" s="8">
        <v>148.12</v>
      </c>
      <c r="Q24" s="8">
        <v>15</v>
      </c>
      <c r="R24" s="8" t="s">
        <v>83</v>
      </c>
      <c r="S24" s="8">
        <v>3</v>
      </c>
      <c r="T24" s="8" t="s">
        <v>75</v>
      </c>
      <c r="U24" s="7" t="s">
        <v>138</v>
      </c>
    </row>
    <row r="25" spans="1:21" ht="15" customHeight="1" x14ac:dyDescent="0.3">
      <c r="A25" s="7" t="s">
        <v>187</v>
      </c>
      <c r="B25" s="7" t="s">
        <v>68</v>
      </c>
      <c r="C25" s="7" t="s">
        <v>33</v>
      </c>
      <c r="D25" s="7" t="s">
        <v>87</v>
      </c>
      <c r="E25" s="7" t="s">
        <v>135</v>
      </c>
      <c r="F25" s="8" t="s">
        <v>188</v>
      </c>
      <c r="G25" s="8" t="s">
        <v>189</v>
      </c>
      <c r="H25" s="8">
        <v>3</v>
      </c>
      <c r="I25" s="7" t="s">
        <v>127</v>
      </c>
      <c r="J25" s="8">
        <v>166</v>
      </c>
      <c r="K25" s="8">
        <v>163</v>
      </c>
      <c r="L25" s="8">
        <v>18</v>
      </c>
      <c r="M25" s="8">
        <v>19</v>
      </c>
      <c r="N25" s="8">
        <v>6</v>
      </c>
      <c r="O25" s="8">
        <v>1</v>
      </c>
      <c r="P25" s="8">
        <v>874.82</v>
      </c>
      <c r="Q25" s="8">
        <v>15</v>
      </c>
      <c r="R25" s="8" t="s">
        <v>74</v>
      </c>
      <c r="S25" s="8">
        <v>12</v>
      </c>
      <c r="T25" s="8" t="s">
        <v>75</v>
      </c>
      <c r="U25" s="7" t="s">
        <v>138</v>
      </c>
    </row>
    <row r="26" spans="1:21" ht="15" customHeight="1" x14ac:dyDescent="0.3">
      <c r="A26" s="7" t="s">
        <v>190</v>
      </c>
      <c r="B26" s="7" t="s">
        <v>68</v>
      </c>
      <c r="C26" s="7" t="s">
        <v>33</v>
      </c>
      <c r="D26" s="7" t="s">
        <v>87</v>
      </c>
      <c r="E26" s="7" t="s">
        <v>135</v>
      </c>
      <c r="F26" s="8" t="s">
        <v>191</v>
      </c>
      <c r="G26" s="8" t="s">
        <v>192</v>
      </c>
      <c r="H26" s="8">
        <v>6</v>
      </c>
      <c r="I26" s="7" t="s">
        <v>107</v>
      </c>
      <c r="J26" s="8">
        <v>110</v>
      </c>
      <c r="K26" s="8">
        <v>98</v>
      </c>
      <c r="L26" s="8">
        <v>14</v>
      </c>
      <c r="M26" s="8">
        <v>4</v>
      </c>
      <c r="N26" s="8">
        <v>1</v>
      </c>
      <c r="O26" s="8">
        <v>6</v>
      </c>
      <c r="P26" s="8">
        <v>531.29999999999995</v>
      </c>
      <c r="Q26" s="8">
        <v>15</v>
      </c>
      <c r="R26" s="8" t="s">
        <v>74</v>
      </c>
      <c r="S26" s="8">
        <v>1</v>
      </c>
      <c r="T26" s="8" t="s">
        <v>75</v>
      </c>
      <c r="U26" s="7" t="s">
        <v>138</v>
      </c>
    </row>
    <row r="27" spans="1:21" ht="15" customHeight="1" x14ac:dyDescent="0.3">
      <c r="A27" s="7" t="s">
        <v>193</v>
      </c>
      <c r="B27" s="7" t="s">
        <v>68</v>
      </c>
      <c r="C27" s="7" t="s">
        <v>28</v>
      </c>
      <c r="D27" s="7" t="s">
        <v>117</v>
      </c>
      <c r="E27" s="7" t="s">
        <v>180</v>
      </c>
      <c r="F27" s="8" t="s">
        <v>194</v>
      </c>
      <c r="G27" s="8" t="s">
        <v>195</v>
      </c>
      <c r="H27" s="8">
        <v>28</v>
      </c>
      <c r="I27" s="7" t="s">
        <v>127</v>
      </c>
      <c r="J27" s="8">
        <v>123</v>
      </c>
      <c r="K27" s="8">
        <v>111</v>
      </c>
      <c r="L27" s="8">
        <v>5</v>
      </c>
      <c r="M27" s="8">
        <v>3</v>
      </c>
      <c r="N27" s="8">
        <v>4</v>
      </c>
      <c r="O27" s="8">
        <v>15</v>
      </c>
      <c r="P27" s="8">
        <v>482.16</v>
      </c>
      <c r="Q27" s="8">
        <v>20</v>
      </c>
      <c r="R27" s="8" t="s">
        <v>83</v>
      </c>
      <c r="S27" s="8">
        <v>5</v>
      </c>
      <c r="T27" s="8" t="s">
        <v>75</v>
      </c>
      <c r="U27" s="7" t="s">
        <v>183</v>
      </c>
    </row>
    <row r="28" spans="1:21" ht="15" customHeight="1" x14ac:dyDescent="0.3">
      <c r="A28" s="7" t="s">
        <v>196</v>
      </c>
      <c r="B28" s="7" t="s">
        <v>68</v>
      </c>
      <c r="C28" s="7" t="s">
        <v>33</v>
      </c>
      <c r="D28" s="7" t="s">
        <v>69</v>
      </c>
      <c r="E28" s="7" t="s">
        <v>70</v>
      </c>
      <c r="F28" s="8" t="s">
        <v>197</v>
      </c>
      <c r="G28" s="8" t="s">
        <v>198</v>
      </c>
      <c r="H28" s="8">
        <v>24</v>
      </c>
      <c r="I28" s="7" t="s">
        <v>91</v>
      </c>
      <c r="J28" s="8">
        <v>66</v>
      </c>
      <c r="K28" s="8">
        <v>58</v>
      </c>
      <c r="L28" s="8">
        <v>9</v>
      </c>
      <c r="M28" s="8">
        <v>7</v>
      </c>
      <c r="N28" s="8">
        <v>6</v>
      </c>
      <c r="O28" s="8">
        <v>5</v>
      </c>
      <c r="P28" s="8">
        <v>279.83999999999997</v>
      </c>
      <c r="Q28" s="8">
        <v>25</v>
      </c>
      <c r="R28" s="8" t="s">
        <v>83</v>
      </c>
      <c r="S28" s="8">
        <v>3</v>
      </c>
      <c r="T28" s="8" t="s">
        <v>122</v>
      </c>
      <c r="U28" s="7" t="s">
        <v>76</v>
      </c>
    </row>
    <row r="29" spans="1:21" ht="15" customHeight="1" x14ac:dyDescent="0.3">
      <c r="A29" s="7" t="s">
        <v>199</v>
      </c>
      <c r="B29" s="7" t="s">
        <v>68</v>
      </c>
      <c r="C29" s="7" t="s">
        <v>33</v>
      </c>
      <c r="D29" s="7" t="s">
        <v>69</v>
      </c>
      <c r="E29" s="7" t="s">
        <v>135</v>
      </c>
      <c r="F29" s="8" t="s">
        <v>200</v>
      </c>
      <c r="G29" s="8" t="s">
        <v>201</v>
      </c>
      <c r="H29" s="8">
        <v>5</v>
      </c>
      <c r="I29" s="7" t="s">
        <v>202</v>
      </c>
      <c r="J29" s="8">
        <v>158</v>
      </c>
      <c r="K29" s="8">
        <v>151</v>
      </c>
      <c r="L29" s="8">
        <v>18</v>
      </c>
      <c r="M29" s="8">
        <v>21</v>
      </c>
      <c r="N29" s="8">
        <v>1</v>
      </c>
      <c r="O29" s="8">
        <v>10</v>
      </c>
      <c r="P29" s="8">
        <v>804.22</v>
      </c>
      <c r="Q29" s="8">
        <v>15</v>
      </c>
      <c r="R29" s="8" t="s">
        <v>74</v>
      </c>
      <c r="S29" s="8">
        <v>9</v>
      </c>
      <c r="T29" s="8" t="s">
        <v>75</v>
      </c>
      <c r="U29" s="7" t="s">
        <v>138</v>
      </c>
    </row>
    <row r="30" spans="1:21" ht="15" customHeight="1" x14ac:dyDescent="0.3">
      <c r="A30" s="7" t="s">
        <v>203</v>
      </c>
      <c r="B30" s="7" t="s">
        <v>68</v>
      </c>
      <c r="C30" s="7" t="s">
        <v>28</v>
      </c>
      <c r="D30" s="7" t="s">
        <v>117</v>
      </c>
      <c r="E30" s="7" t="s">
        <v>118</v>
      </c>
      <c r="F30" s="8" t="s">
        <v>204</v>
      </c>
      <c r="G30" s="8" t="s">
        <v>205</v>
      </c>
      <c r="H30" s="8">
        <v>17</v>
      </c>
      <c r="I30" s="7" t="s">
        <v>158</v>
      </c>
      <c r="J30" s="8">
        <v>74</v>
      </c>
      <c r="K30" s="8">
        <v>70</v>
      </c>
      <c r="L30" s="8">
        <v>1</v>
      </c>
      <c r="M30" s="8">
        <v>0</v>
      </c>
      <c r="N30" s="8">
        <v>5</v>
      </c>
      <c r="O30" s="8">
        <v>25</v>
      </c>
      <c r="P30" s="8">
        <v>358.9</v>
      </c>
      <c r="Q30" s="8">
        <v>30</v>
      </c>
      <c r="R30" s="8" t="s">
        <v>83</v>
      </c>
      <c r="S30" s="8">
        <v>8</v>
      </c>
      <c r="T30" s="8" t="s">
        <v>75</v>
      </c>
      <c r="U30" s="7" t="s">
        <v>123</v>
      </c>
    </row>
    <row r="31" spans="1:21" ht="15" customHeight="1" x14ac:dyDescent="0.3">
      <c r="A31" s="7" t="s">
        <v>206</v>
      </c>
      <c r="B31" s="7" t="s">
        <v>68</v>
      </c>
      <c r="C31" s="7" t="s">
        <v>33</v>
      </c>
      <c r="D31" s="7" t="s">
        <v>87</v>
      </c>
      <c r="E31" s="7" t="s">
        <v>94</v>
      </c>
      <c r="F31" s="8" t="s">
        <v>207</v>
      </c>
      <c r="G31" s="8" t="s">
        <v>208</v>
      </c>
      <c r="H31" s="8">
        <v>52</v>
      </c>
      <c r="I31" s="7" t="s">
        <v>111</v>
      </c>
      <c r="J31" s="8">
        <v>136</v>
      </c>
      <c r="K31" s="8">
        <v>134</v>
      </c>
      <c r="L31" s="8">
        <v>15</v>
      </c>
      <c r="M31" s="8">
        <v>7</v>
      </c>
      <c r="N31" s="8">
        <v>18</v>
      </c>
      <c r="O31" s="8">
        <v>7</v>
      </c>
      <c r="P31" s="8">
        <v>864.96</v>
      </c>
      <c r="Q31" s="8">
        <v>30</v>
      </c>
      <c r="R31" s="8" t="s">
        <v>83</v>
      </c>
      <c r="S31" s="8">
        <v>14</v>
      </c>
      <c r="T31" s="8" t="s">
        <v>122</v>
      </c>
      <c r="U31" s="7" t="s">
        <v>98</v>
      </c>
    </row>
    <row r="32" spans="1:21" ht="15" customHeight="1" x14ac:dyDescent="0.3">
      <c r="A32" s="7" t="s">
        <v>209</v>
      </c>
      <c r="B32" s="7" t="s">
        <v>68</v>
      </c>
      <c r="C32" s="7" t="s">
        <v>37</v>
      </c>
      <c r="D32" s="7" t="s">
        <v>129</v>
      </c>
      <c r="E32" s="7" t="s">
        <v>79</v>
      </c>
      <c r="F32" s="8" t="s">
        <v>210</v>
      </c>
      <c r="G32" s="8" t="s">
        <v>211</v>
      </c>
      <c r="H32" s="8">
        <v>6</v>
      </c>
      <c r="I32" s="7" t="s">
        <v>158</v>
      </c>
      <c r="J32" s="8">
        <v>168</v>
      </c>
      <c r="K32" s="8">
        <v>166</v>
      </c>
      <c r="L32" s="8">
        <v>3</v>
      </c>
      <c r="M32" s="8">
        <v>17</v>
      </c>
      <c r="N32" s="8">
        <v>47</v>
      </c>
      <c r="O32" s="8">
        <v>1</v>
      </c>
      <c r="P32" s="8">
        <v>821.52</v>
      </c>
      <c r="Q32" s="8">
        <v>20</v>
      </c>
      <c r="R32" s="8" t="s">
        <v>83</v>
      </c>
      <c r="S32" s="8">
        <v>10</v>
      </c>
      <c r="T32" s="8" t="s">
        <v>75</v>
      </c>
      <c r="U32" s="7" t="s">
        <v>85</v>
      </c>
    </row>
    <row r="33" spans="1:21" ht="15" customHeight="1" x14ac:dyDescent="0.3">
      <c r="A33" s="7" t="s">
        <v>212</v>
      </c>
      <c r="B33" s="7" t="s">
        <v>68</v>
      </c>
      <c r="C33" s="7" t="s">
        <v>40</v>
      </c>
      <c r="D33" s="7" t="s">
        <v>170</v>
      </c>
      <c r="E33" s="7" t="s">
        <v>213</v>
      </c>
      <c r="F33" s="8" t="s">
        <v>214</v>
      </c>
      <c r="G33" s="8" t="s">
        <v>215</v>
      </c>
      <c r="H33" s="8">
        <v>3</v>
      </c>
      <c r="I33" s="7" t="s">
        <v>111</v>
      </c>
      <c r="J33" s="8">
        <v>155</v>
      </c>
      <c r="K33" s="8">
        <v>146</v>
      </c>
      <c r="L33" s="8">
        <v>29</v>
      </c>
      <c r="M33" s="8">
        <v>1</v>
      </c>
      <c r="N33" s="8">
        <v>0</v>
      </c>
      <c r="O33" s="8">
        <v>2</v>
      </c>
      <c r="P33" s="8">
        <v>658.75</v>
      </c>
      <c r="Q33" s="8">
        <v>15</v>
      </c>
      <c r="R33" s="8" t="s">
        <v>74</v>
      </c>
      <c r="S33" s="8">
        <v>11</v>
      </c>
      <c r="T33" s="8" t="s">
        <v>75</v>
      </c>
      <c r="U33" s="7" t="s">
        <v>216</v>
      </c>
    </row>
    <row r="34" spans="1:21" ht="15" customHeight="1" x14ac:dyDescent="0.3">
      <c r="A34" s="7" t="s">
        <v>217</v>
      </c>
      <c r="B34" s="7" t="s">
        <v>68</v>
      </c>
      <c r="C34" s="7" t="s">
        <v>28</v>
      </c>
      <c r="D34" s="7" t="s">
        <v>117</v>
      </c>
      <c r="E34" s="7" t="s">
        <v>161</v>
      </c>
      <c r="F34" s="8" t="s">
        <v>218</v>
      </c>
      <c r="G34" s="8" t="s">
        <v>219</v>
      </c>
      <c r="H34" s="8">
        <v>32</v>
      </c>
      <c r="I34" s="7" t="s">
        <v>158</v>
      </c>
      <c r="J34" s="8">
        <v>80</v>
      </c>
      <c r="K34" s="8">
        <v>78</v>
      </c>
      <c r="L34" s="8">
        <v>12</v>
      </c>
      <c r="M34" s="8">
        <v>10</v>
      </c>
      <c r="N34" s="8">
        <v>2</v>
      </c>
      <c r="O34" s="8">
        <v>1</v>
      </c>
      <c r="P34" s="8">
        <v>506.4</v>
      </c>
      <c r="Q34" s="8">
        <v>30</v>
      </c>
      <c r="R34" s="8" t="s">
        <v>83</v>
      </c>
      <c r="S34" s="8">
        <v>5</v>
      </c>
      <c r="T34" s="8" t="s">
        <v>75</v>
      </c>
      <c r="U34" s="7" t="s">
        <v>165</v>
      </c>
    </row>
    <row r="35" spans="1:21" ht="15" customHeight="1" x14ac:dyDescent="0.3">
      <c r="A35" s="7" t="s">
        <v>220</v>
      </c>
      <c r="B35" s="7" t="s">
        <v>68</v>
      </c>
      <c r="C35" s="7" t="s">
        <v>37</v>
      </c>
      <c r="D35" s="7" t="s">
        <v>78</v>
      </c>
      <c r="E35" s="7" t="s">
        <v>130</v>
      </c>
      <c r="F35" s="8" t="s">
        <v>221</v>
      </c>
      <c r="G35" s="8" t="s">
        <v>222</v>
      </c>
      <c r="H35" s="8">
        <v>51</v>
      </c>
      <c r="I35" s="7" t="s">
        <v>82</v>
      </c>
      <c r="J35" s="8">
        <v>188</v>
      </c>
      <c r="K35" s="8">
        <v>183</v>
      </c>
      <c r="L35" s="8">
        <v>24</v>
      </c>
      <c r="M35" s="8">
        <v>21</v>
      </c>
      <c r="N35" s="8">
        <v>17</v>
      </c>
      <c r="O35" s="8">
        <v>4</v>
      </c>
      <c r="P35" s="8">
        <v>1556.64</v>
      </c>
      <c r="Q35" s="8">
        <v>40</v>
      </c>
      <c r="R35" s="8" t="s">
        <v>83</v>
      </c>
      <c r="S35" s="8">
        <v>10</v>
      </c>
      <c r="T35" s="8" t="s">
        <v>75</v>
      </c>
      <c r="U35" s="7" t="s">
        <v>133</v>
      </c>
    </row>
    <row r="36" spans="1:21" ht="15" customHeight="1" x14ac:dyDescent="0.3">
      <c r="A36" s="7" t="s">
        <v>223</v>
      </c>
      <c r="B36" s="7" t="s">
        <v>68</v>
      </c>
      <c r="C36" s="7" t="s">
        <v>40</v>
      </c>
      <c r="D36" s="7" t="s">
        <v>170</v>
      </c>
      <c r="E36" s="7" t="s">
        <v>224</v>
      </c>
      <c r="F36" s="8" t="s">
        <v>225</v>
      </c>
      <c r="G36" s="8" t="s">
        <v>226</v>
      </c>
      <c r="H36" s="8">
        <v>12</v>
      </c>
      <c r="I36" s="7" t="s">
        <v>127</v>
      </c>
      <c r="J36" s="8">
        <v>53</v>
      </c>
      <c r="K36" s="8">
        <v>48</v>
      </c>
      <c r="L36" s="8">
        <v>1</v>
      </c>
      <c r="M36" s="8">
        <v>1</v>
      </c>
      <c r="N36" s="8">
        <v>21</v>
      </c>
      <c r="O36" s="8">
        <v>0</v>
      </c>
      <c r="P36" s="8">
        <v>248.04</v>
      </c>
      <c r="Q36" s="8">
        <v>25</v>
      </c>
      <c r="R36" s="8" t="s">
        <v>83</v>
      </c>
      <c r="S36" s="8">
        <v>0</v>
      </c>
      <c r="T36" s="8" t="s">
        <v>75</v>
      </c>
      <c r="U36" s="7" t="s">
        <v>227</v>
      </c>
    </row>
    <row r="37" spans="1:21" ht="15" customHeight="1" x14ac:dyDescent="0.3">
      <c r="A37" s="7" t="s">
        <v>228</v>
      </c>
      <c r="B37" s="7" t="s">
        <v>68</v>
      </c>
      <c r="C37" s="7" t="s">
        <v>40</v>
      </c>
      <c r="D37" s="7" t="s">
        <v>170</v>
      </c>
      <c r="E37" s="7" t="s">
        <v>213</v>
      </c>
      <c r="F37" s="8" t="s">
        <v>229</v>
      </c>
      <c r="G37" s="8" t="s">
        <v>230</v>
      </c>
      <c r="H37" s="8">
        <v>9</v>
      </c>
      <c r="I37" s="7" t="s">
        <v>111</v>
      </c>
      <c r="J37" s="8">
        <v>38</v>
      </c>
      <c r="K37" s="8">
        <v>35</v>
      </c>
      <c r="L37" s="8">
        <v>4</v>
      </c>
      <c r="M37" s="8">
        <v>0</v>
      </c>
      <c r="N37" s="8">
        <v>0</v>
      </c>
      <c r="O37" s="8">
        <v>5</v>
      </c>
      <c r="P37" s="8">
        <v>153.52000000000001</v>
      </c>
      <c r="Q37" s="8">
        <v>15</v>
      </c>
      <c r="R37" s="8" t="s">
        <v>74</v>
      </c>
      <c r="S37" s="8">
        <v>1</v>
      </c>
      <c r="T37" s="8" t="s">
        <v>75</v>
      </c>
      <c r="U37" s="7" t="s">
        <v>216</v>
      </c>
    </row>
    <row r="38" spans="1:21" ht="15" customHeight="1" x14ac:dyDescent="0.3">
      <c r="A38" s="7" t="s">
        <v>231</v>
      </c>
      <c r="B38" s="7" t="s">
        <v>68</v>
      </c>
      <c r="C38" s="7" t="s">
        <v>28</v>
      </c>
      <c r="D38" s="7" t="s">
        <v>232</v>
      </c>
      <c r="E38" s="7" t="s">
        <v>161</v>
      </c>
      <c r="F38" s="8" t="s">
        <v>233</v>
      </c>
      <c r="G38" s="8" t="s">
        <v>234</v>
      </c>
      <c r="H38" s="8">
        <v>14</v>
      </c>
      <c r="I38" s="7" t="s">
        <v>158</v>
      </c>
      <c r="J38" s="8">
        <v>82</v>
      </c>
      <c r="K38" s="8">
        <v>79</v>
      </c>
      <c r="L38" s="8">
        <v>10</v>
      </c>
      <c r="M38" s="8">
        <v>9</v>
      </c>
      <c r="N38" s="8">
        <v>0</v>
      </c>
      <c r="O38" s="8">
        <v>2</v>
      </c>
      <c r="P38" s="8">
        <v>528.9</v>
      </c>
      <c r="Q38" s="8">
        <v>30</v>
      </c>
      <c r="R38" s="8" t="s">
        <v>74</v>
      </c>
      <c r="S38" s="8">
        <v>5</v>
      </c>
      <c r="T38" s="8" t="s">
        <v>75</v>
      </c>
      <c r="U38" s="7" t="s">
        <v>165</v>
      </c>
    </row>
    <row r="39" spans="1:21" ht="15" customHeight="1" x14ac:dyDescent="0.3">
      <c r="A39" s="7" t="s">
        <v>235</v>
      </c>
      <c r="B39" s="7" t="s">
        <v>68</v>
      </c>
      <c r="C39" s="7" t="s">
        <v>33</v>
      </c>
      <c r="D39" s="7" t="s">
        <v>87</v>
      </c>
      <c r="E39" s="7" t="s">
        <v>94</v>
      </c>
      <c r="F39" s="8" t="s">
        <v>236</v>
      </c>
      <c r="G39" s="8" t="s">
        <v>237</v>
      </c>
      <c r="H39" s="8">
        <v>27</v>
      </c>
      <c r="I39" s="7" t="s">
        <v>121</v>
      </c>
      <c r="J39" s="8">
        <v>187</v>
      </c>
      <c r="K39" s="8">
        <v>166</v>
      </c>
      <c r="L39" s="8">
        <v>20</v>
      </c>
      <c r="M39" s="8">
        <v>18</v>
      </c>
      <c r="N39" s="8">
        <v>2</v>
      </c>
      <c r="O39" s="8">
        <v>4</v>
      </c>
      <c r="P39" s="8">
        <v>1037.8499999999999</v>
      </c>
      <c r="Q39" s="8">
        <v>30</v>
      </c>
      <c r="R39" s="8" t="s">
        <v>74</v>
      </c>
      <c r="S39" s="8">
        <v>17</v>
      </c>
      <c r="T39" s="8" t="s">
        <v>75</v>
      </c>
      <c r="U39" s="7" t="s">
        <v>98</v>
      </c>
    </row>
    <row r="40" spans="1:21" ht="15" customHeight="1" x14ac:dyDescent="0.3">
      <c r="A40" s="7" t="s">
        <v>238</v>
      </c>
      <c r="B40" s="7" t="s">
        <v>68</v>
      </c>
      <c r="C40" s="7" t="s">
        <v>37</v>
      </c>
      <c r="D40" s="7" t="s">
        <v>129</v>
      </c>
      <c r="E40" s="7" t="s">
        <v>79</v>
      </c>
      <c r="F40" s="8" t="s">
        <v>239</v>
      </c>
      <c r="G40" s="8" t="s">
        <v>240</v>
      </c>
      <c r="H40" s="8">
        <v>20</v>
      </c>
      <c r="I40" s="7" t="s">
        <v>127</v>
      </c>
      <c r="J40" s="8">
        <v>47</v>
      </c>
      <c r="K40" s="8">
        <v>44</v>
      </c>
      <c r="L40" s="8">
        <v>0</v>
      </c>
      <c r="M40" s="8">
        <v>3</v>
      </c>
      <c r="N40" s="8">
        <v>13</v>
      </c>
      <c r="O40" s="8">
        <v>0</v>
      </c>
      <c r="P40" s="8">
        <v>231.71</v>
      </c>
      <c r="Q40" s="8">
        <v>20</v>
      </c>
      <c r="R40" s="8" t="s">
        <v>83</v>
      </c>
      <c r="S40" s="8">
        <v>3</v>
      </c>
      <c r="T40" s="8" t="s">
        <v>75</v>
      </c>
      <c r="U40" s="7" t="s">
        <v>85</v>
      </c>
    </row>
    <row r="41" spans="1:21" ht="15" customHeight="1" x14ac:dyDescent="0.3">
      <c r="A41" s="7" t="s">
        <v>241</v>
      </c>
      <c r="B41" s="7" t="s">
        <v>68</v>
      </c>
      <c r="C41" s="7" t="s">
        <v>40</v>
      </c>
      <c r="D41" s="7" t="s">
        <v>170</v>
      </c>
      <c r="E41" s="7" t="s">
        <v>155</v>
      </c>
      <c r="F41" s="8" t="s">
        <v>242</v>
      </c>
      <c r="G41" s="8" t="s">
        <v>243</v>
      </c>
      <c r="H41" s="8">
        <v>66</v>
      </c>
      <c r="I41" s="7" t="s">
        <v>73</v>
      </c>
      <c r="J41" s="8">
        <v>87</v>
      </c>
      <c r="K41" s="8">
        <v>82</v>
      </c>
      <c r="L41" s="8">
        <v>4</v>
      </c>
      <c r="M41" s="8">
        <v>2</v>
      </c>
      <c r="N41" s="8">
        <v>8</v>
      </c>
      <c r="O41" s="8">
        <v>9</v>
      </c>
      <c r="P41" s="8">
        <v>725.58</v>
      </c>
      <c r="Q41" s="8">
        <v>60</v>
      </c>
      <c r="R41" s="8" t="s">
        <v>83</v>
      </c>
      <c r="S41" s="8">
        <v>4</v>
      </c>
      <c r="T41" s="8" t="s">
        <v>75</v>
      </c>
      <c r="U41" s="7" t="s">
        <v>159</v>
      </c>
    </row>
    <row r="42" spans="1:21" ht="15" customHeight="1" x14ac:dyDescent="0.3">
      <c r="A42" s="7" t="s">
        <v>244</v>
      </c>
      <c r="B42" s="7" t="s">
        <v>68</v>
      </c>
      <c r="C42" s="7" t="s">
        <v>140</v>
      </c>
      <c r="D42" s="7" t="s">
        <v>245</v>
      </c>
      <c r="E42" s="7" t="s">
        <v>246</v>
      </c>
      <c r="F42" s="8" t="s">
        <v>247</v>
      </c>
      <c r="G42" s="8" t="s">
        <v>248</v>
      </c>
      <c r="H42" s="8">
        <v>16</v>
      </c>
      <c r="I42" s="7" t="s">
        <v>127</v>
      </c>
      <c r="J42" s="8">
        <v>53</v>
      </c>
      <c r="K42" s="8">
        <v>52</v>
      </c>
      <c r="L42" s="8">
        <v>3</v>
      </c>
      <c r="M42" s="8">
        <v>0</v>
      </c>
      <c r="N42" s="8">
        <v>0</v>
      </c>
      <c r="O42" s="8">
        <v>0</v>
      </c>
      <c r="P42" s="8">
        <v>207.23</v>
      </c>
      <c r="Q42" s="8">
        <v>20</v>
      </c>
      <c r="R42" s="8" t="s">
        <v>74</v>
      </c>
      <c r="S42" s="8">
        <v>3</v>
      </c>
      <c r="T42" s="8" t="s">
        <v>75</v>
      </c>
      <c r="U42" s="7" t="s">
        <v>249</v>
      </c>
    </row>
    <row r="43" spans="1:21" ht="15" customHeight="1" x14ac:dyDescent="0.3">
      <c r="A43" s="7" t="s">
        <v>250</v>
      </c>
      <c r="B43" s="7" t="s">
        <v>68</v>
      </c>
      <c r="C43" s="7" t="s">
        <v>40</v>
      </c>
      <c r="D43" s="7" t="s">
        <v>170</v>
      </c>
      <c r="E43" s="7" t="s">
        <v>224</v>
      </c>
      <c r="F43" s="8" t="s">
        <v>251</v>
      </c>
      <c r="G43" s="8" t="s">
        <v>252</v>
      </c>
      <c r="H43" s="8">
        <v>12</v>
      </c>
      <c r="I43" s="7" t="s">
        <v>73</v>
      </c>
      <c r="J43" s="8">
        <v>22</v>
      </c>
      <c r="K43" s="8">
        <v>20</v>
      </c>
      <c r="L43" s="8">
        <v>0</v>
      </c>
      <c r="M43" s="8">
        <v>0</v>
      </c>
      <c r="N43" s="8">
        <v>2</v>
      </c>
      <c r="O43" s="8">
        <v>2</v>
      </c>
      <c r="P43" s="8">
        <v>94.6</v>
      </c>
      <c r="Q43" s="8">
        <v>25</v>
      </c>
      <c r="R43" s="8" t="s">
        <v>74</v>
      </c>
      <c r="S43" s="8">
        <v>1</v>
      </c>
      <c r="T43" s="8" t="s">
        <v>75</v>
      </c>
      <c r="U43" s="7" t="s">
        <v>227</v>
      </c>
    </row>
    <row r="44" spans="1:21" ht="15" customHeight="1" x14ac:dyDescent="0.3">
      <c r="A44" s="7" t="s">
        <v>253</v>
      </c>
      <c r="B44" s="7" t="s">
        <v>68</v>
      </c>
      <c r="C44" s="7" t="s">
        <v>140</v>
      </c>
      <c r="D44" s="7" t="s">
        <v>245</v>
      </c>
      <c r="E44" s="7" t="s">
        <v>142</v>
      </c>
      <c r="F44" s="8" t="s">
        <v>254</v>
      </c>
      <c r="G44" s="8" t="s">
        <v>255</v>
      </c>
      <c r="H44" s="8">
        <v>21</v>
      </c>
      <c r="I44" s="7" t="s">
        <v>97</v>
      </c>
      <c r="J44" s="8">
        <v>130</v>
      </c>
      <c r="K44" s="8">
        <v>124</v>
      </c>
      <c r="L44" s="8">
        <v>4</v>
      </c>
      <c r="M44" s="8">
        <v>4</v>
      </c>
      <c r="N44" s="8">
        <v>11</v>
      </c>
      <c r="O44" s="8">
        <v>19</v>
      </c>
      <c r="P44" s="8">
        <v>367.9</v>
      </c>
      <c r="Q44" s="8">
        <v>20</v>
      </c>
      <c r="R44" s="8" t="s">
        <v>83</v>
      </c>
      <c r="S44" s="8">
        <v>4</v>
      </c>
      <c r="T44" s="8" t="s">
        <v>122</v>
      </c>
      <c r="U44" s="7" t="s">
        <v>146</v>
      </c>
    </row>
    <row r="45" spans="1:21" ht="15" customHeight="1" x14ac:dyDescent="0.3">
      <c r="A45" s="7" t="s">
        <v>256</v>
      </c>
      <c r="B45" s="7" t="s">
        <v>68</v>
      </c>
      <c r="C45" s="7" t="s">
        <v>40</v>
      </c>
      <c r="D45" s="7" t="s">
        <v>154</v>
      </c>
      <c r="E45" s="7" t="s">
        <v>155</v>
      </c>
      <c r="F45" s="8" t="s">
        <v>257</v>
      </c>
      <c r="G45" s="8" t="s">
        <v>258</v>
      </c>
      <c r="H45" s="8">
        <v>48</v>
      </c>
      <c r="I45" s="7" t="s">
        <v>111</v>
      </c>
      <c r="J45" s="8">
        <v>190</v>
      </c>
      <c r="K45" s="8">
        <v>180</v>
      </c>
      <c r="L45" s="8">
        <v>6</v>
      </c>
      <c r="M45" s="8">
        <v>7</v>
      </c>
      <c r="N45" s="8">
        <v>25</v>
      </c>
      <c r="O45" s="8">
        <v>0</v>
      </c>
      <c r="P45" s="8">
        <v>1573.2</v>
      </c>
      <c r="Q45" s="8">
        <v>60</v>
      </c>
      <c r="R45" s="8" t="s">
        <v>83</v>
      </c>
      <c r="S45" s="8">
        <v>12</v>
      </c>
      <c r="T45" s="8" t="s">
        <v>122</v>
      </c>
      <c r="U45" s="7" t="s">
        <v>159</v>
      </c>
    </row>
    <row r="46" spans="1:21" ht="15" customHeight="1" x14ac:dyDescent="0.3">
      <c r="A46" s="7" t="s">
        <v>259</v>
      </c>
      <c r="B46" s="7" t="s">
        <v>68</v>
      </c>
      <c r="C46" s="7" t="s">
        <v>37</v>
      </c>
      <c r="D46" s="7" t="s">
        <v>129</v>
      </c>
      <c r="E46" s="7" t="s">
        <v>79</v>
      </c>
      <c r="F46" s="8" t="s">
        <v>260</v>
      </c>
      <c r="G46" s="8" t="s">
        <v>261</v>
      </c>
      <c r="H46" s="8">
        <v>36</v>
      </c>
      <c r="I46" s="7" t="s">
        <v>82</v>
      </c>
      <c r="J46" s="8">
        <v>61</v>
      </c>
      <c r="K46" s="8">
        <v>55</v>
      </c>
      <c r="L46" s="8">
        <v>4</v>
      </c>
      <c r="M46" s="8">
        <v>9</v>
      </c>
      <c r="N46" s="8">
        <v>70</v>
      </c>
      <c r="O46" s="8">
        <v>1</v>
      </c>
      <c r="P46" s="8">
        <v>222.04</v>
      </c>
      <c r="Q46" s="8">
        <v>20</v>
      </c>
      <c r="R46" s="8" t="s">
        <v>83</v>
      </c>
      <c r="S46" s="8">
        <v>1</v>
      </c>
      <c r="T46" s="8" t="s">
        <v>75</v>
      </c>
      <c r="U46" s="7" t="s">
        <v>85</v>
      </c>
    </row>
    <row r="47" spans="1:21" ht="15" customHeight="1" x14ac:dyDescent="0.3">
      <c r="A47" s="7" t="s">
        <v>262</v>
      </c>
      <c r="B47" s="7" t="s">
        <v>68</v>
      </c>
      <c r="C47" s="7" t="s">
        <v>28</v>
      </c>
      <c r="D47" s="7" t="s">
        <v>117</v>
      </c>
      <c r="E47" s="7" t="s">
        <v>263</v>
      </c>
      <c r="F47" s="8" t="s">
        <v>264</v>
      </c>
      <c r="G47" s="8" t="s">
        <v>265</v>
      </c>
      <c r="H47" s="8">
        <v>2</v>
      </c>
      <c r="I47" s="7" t="s">
        <v>158</v>
      </c>
      <c r="J47" s="8">
        <v>191</v>
      </c>
      <c r="K47" s="8">
        <v>175</v>
      </c>
      <c r="L47" s="8">
        <v>25</v>
      </c>
      <c r="M47" s="8">
        <v>13</v>
      </c>
      <c r="N47" s="8">
        <v>0</v>
      </c>
      <c r="O47" s="8">
        <v>0</v>
      </c>
      <c r="P47" s="8">
        <v>800.29</v>
      </c>
      <c r="Q47" s="8">
        <v>15</v>
      </c>
      <c r="R47" s="8" t="s">
        <v>74</v>
      </c>
      <c r="S47" s="8">
        <v>5</v>
      </c>
      <c r="T47" s="8" t="s">
        <v>75</v>
      </c>
      <c r="U47" s="7" t="s">
        <v>266</v>
      </c>
    </row>
    <row r="48" spans="1:21" ht="15" customHeight="1" x14ac:dyDescent="0.3">
      <c r="A48" s="7" t="s">
        <v>267</v>
      </c>
      <c r="B48" s="7" t="s">
        <v>68</v>
      </c>
      <c r="C48" s="7" t="s">
        <v>33</v>
      </c>
      <c r="D48" s="7" t="s">
        <v>87</v>
      </c>
      <c r="E48" s="7" t="s">
        <v>135</v>
      </c>
      <c r="F48" s="8" t="s">
        <v>268</v>
      </c>
      <c r="G48" s="8" t="s">
        <v>269</v>
      </c>
      <c r="H48" s="8">
        <v>7</v>
      </c>
      <c r="I48" s="7" t="s">
        <v>158</v>
      </c>
      <c r="J48" s="8">
        <v>140</v>
      </c>
      <c r="K48" s="8">
        <v>135</v>
      </c>
      <c r="L48" s="8">
        <v>18</v>
      </c>
      <c r="M48" s="8">
        <v>18</v>
      </c>
      <c r="N48" s="8">
        <v>0</v>
      </c>
      <c r="O48" s="8">
        <v>3</v>
      </c>
      <c r="P48" s="8">
        <v>715.4</v>
      </c>
      <c r="Q48" s="8">
        <v>15</v>
      </c>
      <c r="R48" s="8" t="s">
        <v>74</v>
      </c>
      <c r="S48" s="8">
        <v>7</v>
      </c>
      <c r="T48" s="8" t="s">
        <v>75</v>
      </c>
      <c r="U48" s="7" t="s">
        <v>138</v>
      </c>
    </row>
    <row r="49" spans="1:21" ht="15" customHeight="1" x14ac:dyDescent="0.3">
      <c r="A49" s="7" t="s">
        <v>270</v>
      </c>
      <c r="B49" s="7" t="s">
        <v>68</v>
      </c>
      <c r="C49" s="7" t="s">
        <v>28</v>
      </c>
      <c r="D49" s="7" t="s">
        <v>232</v>
      </c>
      <c r="E49" s="7" t="s">
        <v>180</v>
      </c>
      <c r="F49" s="8" t="s">
        <v>271</v>
      </c>
      <c r="G49" s="8" t="s">
        <v>272</v>
      </c>
      <c r="H49" s="8">
        <v>37</v>
      </c>
      <c r="I49" s="7" t="s">
        <v>115</v>
      </c>
      <c r="J49" s="8">
        <v>26</v>
      </c>
      <c r="K49" s="8">
        <v>24</v>
      </c>
      <c r="L49" s="8">
        <v>1</v>
      </c>
      <c r="M49" s="8">
        <v>3</v>
      </c>
      <c r="N49" s="8">
        <v>4</v>
      </c>
      <c r="O49" s="8">
        <v>27</v>
      </c>
      <c r="P49" s="8">
        <v>84.24</v>
      </c>
      <c r="Q49" s="8">
        <v>20</v>
      </c>
      <c r="R49" s="8" t="s">
        <v>83</v>
      </c>
      <c r="S49" s="8">
        <v>2</v>
      </c>
      <c r="T49" s="8" t="s">
        <v>75</v>
      </c>
      <c r="U49" s="7" t="s">
        <v>183</v>
      </c>
    </row>
    <row r="50" spans="1:21" ht="15" customHeight="1" x14ac:dyDescent="0.3">
      <c r="A50" s="7" t="s">
        <v>273</v>
      </c>
      <c r="B50" s="7" t="s">
        <v>68</v>
      </c>
      <c r="C50" s="7" t="s">
        <v>40</v>
      </c>
      <c r="D50" s="7" t="s">
        <v>170</v>
      </c>
      <c r="E50" s="7" t="s">
        <v>224</v>
      </c>
      <c r="F50" s="8" t="s">
        <v>274</v>
      </c>
      <c r="G50" s="8" t="s">
        <v>275</v>
      </c>
      <c r="H50" s="8">
        <v>25</v>
      </c>
      <c r="I50" s="7" t="s">
        <v>115</v>
      </c>
      <c r="J50" s="8">
        <v>157</v>
      </c>
      <c r="K50" s="8">
        <v>140</v>
      </c>
      <c r="L50" s="8">
        <v>6</v>
      </c>
      <c r="M50" s="8">
        <v>4</v>
      </c>
      <c r="N50" s="8">
        <v>48</v>
      </c>
      <c r="O50" s="8">
        <v>1</v>
      </c>
      <c r="P50" s="8">
        <v>833.67</v>
      </c>
      <c r="Q50" s="8">
        <v>25</v>
      </c>
      <c r="R50" s="8" t="s">
        <v>83</v>
      </c>
      <c r="S50" s="8">
        <v>9</v>
      </c>
      <c r="T50" s="8" t="s">
        <v>122</v>
      </c>
      <c r="U50" s="7" t="s">
        <v>227</v>
      </c>
    </row>
    <row r="51" spans="1:21" ht="15" customHeight="1" x14ac:dyDescent="0.3">
      <c r="A51" s="7" t="s">
        <v>276</v>
      </c>
      <c r="B51" s="7" t="s">
        <v>68</v>
      </c>
      <c r="C51" s="7" t="s">
        <v>140</v>
      </c>
      <c r="D51" s="7" t="s">
        <v>245</v>
      </c>
      <c r="E51" s="7" t="s">
        <v>277</v>
      </c>
      <c r="F51" s="8" t="s">
        <v>278</v>
      </c>
      <c r="G51" s="8" t="s">
        <v>279</v>
      </c>
      <c r="H51" s="8">
        <v>4</v>
      </c>
      <c r="I51" s="7" t="s">
        <v>115</v>
      </c>
      <c r="J51" s="8">
        <v>172</v>
      </c>
      <c r="K51" s="8">
        <v>151</v>
      </c>
      <c r="L51" s="8">
        <v>8</v>
      </c>
      <c r="M51" s="8">
        <v>3</v>
      </c>
      <c r="N51" s="8">
        <v>10</v>
      </c>
      <c r="O51" s="8">
        <v>1</v>
      </c>
      <c r="P51" s="8">
        <v>569.32000000000005</v>
      </c>
      <c r="Q51" s="8">
        <v>15</v>
      </c>
      <c r="R51" s="8" t="s">
        <v>74</v>
      </c>
      <c r="S51" s="8">
        <v>1</v>
      </c>
      <c r="T51" s="8" t="s">
        <v>75</v>
      </c>
      <c r="U51" s="7" t="s">
        <v>280</v>
      </c>
    </row>
    <row r="52" spans="1:21" ht="15" customHeight="1" x14ac:dyDescent="0.3">
      <c r="A52" s="7" t="s">
        <v>281</v>
      </c>
      <c r="B52" s="7" t="s">
        <v>68</v>
      </c>
      <c r="C52" s="7" t="s">
        <v>40</v>
      </c>
      <c r="D52" s="7" t="s">
        <v>154</v>
      </c>
      <c r="E52" s="7" t="s">
        <v>213</v>
      </c>
      <c r="F52" s="8" t="s">
        <v>282</v>
      </c>
      <c r="G52" s="8" t="s">
        <v>283</v>
      </c>
      <c r="H52" s="8">
        <v>11</v>
      </c>
      <c r="I52" s="7" t="s">
        <v>82</v>
      </c>
      <c r="J52" s="8">
        <v>68</v>
      </c>
      <c r="K52" s="8">
        <v>62</v>
      </c>
      <c r="L52" s="8">
        <v>9</v>
      </c>
      <c r="M52" s="8">
        <v>1</v>
      </c>
      <c r="N52" s="8">
        <v>18</v>
      </c>
      <c r="O52" s="8">
        <v>2</v>
      </c>
      <c r="P52" s="8">
        <v>214.88</v>
      </c>
      <c r="Q52" s="8">
        <v>15</v>
      </c>
      <c r="R52" s="8" t="s">
        <v>83</v>
      </c>
      <c r="S52" s="8">
        <v>5</v>
      </c>
      <c r="T52" s="8" t="s">
        <v>122</v>
      </c>
      <c r="U52" s="7" t="s">
        <v>216</v>
      </c>
    </row>
    <row r="53" spans="1:21" ht="15" customHeight="1" x14ac:dyDescent="0.3">
      <c r="A53" s="7" t="s">
        <v>284</v>
      </c>
      <c r="B53" s="7" t="s">
        <v>68</v>
      </c>
      <c r="C53" s="7" t="s">
        <v>28</v>
      </c>
      <c r="D53" s="7" t="s">
        <v>117</v>
      </c>
      <c r="E53" s="7" t="s">
        <v>263</v>
      </c>
      <c r="F53" s="8" t="s">
        <v>285</v>
      </c>
      <c r="G53" s="8" t="s">
        <v>286</v>
      </c>
      <c r="H53" s="8">
        <v>11</v>
      </c>
      <c r="I53" s="7" t="s">
        <v>121</v>
      </c>
      <c r="J53" s="8">
        <v>191</v>
      </c>
      <c r="K53" s="8">
        <v>179</v>
      </c>
      <c r="L53" s="8">
        <v>26</v>
      </c>
      <c r="M53" s="8">
        <v>14</v>
      </c>
      <c r="N53" s="8">
        <v>8</v>
      </c>
      <c r="O53" s="8">
        <v>4</v>
      </c>
      <c r="P53" s="8">
        <v>500.42</v>
      </c>
      <c r="Q53" s="8">
        <v>15</v>
      </c>
      <c r="R53" s="8" t="s">
        <v>83</v>
      </c>
      <c r="S53" s="8">
        <v>12</v>
      </c>
      <c r="T53" s="8" t="s">
        <v>122</v>
      </c>
      <c r="U53" s="7" t="s">
        <v>266</v>
      </c>
    </row>
    <row r="54" spans="1:21" ht="15" customHeight="1" x14ac:dyDescent="0.3">
      <c r="A54" s="7" t="s">
        <v>287</v>
      </c>
      <c r="B54" s="7" t="s">
        <v>68</v>
      </c>
      <c r="C54" s="7" t="s">
        <v>28</v>
      </c>
      <c r="D54" s="7" t="s">
        <v>117</v>
      </c>
      <c r="E54" s="7" t="s">
        <v>263</v>
      </c>
      <c r="F54" s="8" t="s">
        <v>288</v>
      </c>
      <c r="G54" s="8" t="s">
        <v>289</v>
      </c>
      <c r="H54" s="8">
        <v>17</v>
      </c>
      <c r="I54" s="7" t="s">
        <v>127</v>
      </c>
      <c r="J54" s="8">
        <v>51</v>
      </c>
      <c r="K54" s="8">
        <v>48</v>
      </c>
      <c r="L54" s="8">
        <v>4</v>
      </c>
      <c r="M54" s="8">
        <v>7</v>
      </c>
      <c r="N54" s="8">
        <v>2</v>
      </c>
      <c r="O54" s="8">
        <v>0</v>
      </c>
      <c r="P54" s="8">
        <v>137.69999999999999</v>
      </c>
      <c r="Q54" s="8">
        <v>15</v>
      </c>
      <c r="R54" s="8" t="s">
        <v>83</v>
      </c>
      <c r="S54" s="8">
        <v>1</v>
      </c>
      <c r="T54" s="8" t="s">
        <v>75</v>
      </c>
      <c r="U54" s="7" t="s">
        <v>266</v>
      </c>
    </row>
    <row r="55" spans="1:21" ht="15" customHeight="1" x14ac:dyDescent="0.3">
      <c r="A55" s="7" t="s">
        <v>290</v>
      </c>
      <c r="B55" s="7" t="s">
        <v>68</v>
      </c>
      <c r="C55" s="7" t="s">
        <v>40</v>
      </c>
      <c r="D55" s="7" t="s">
        <v>154</v>
      </c>
      <c r="E55" s="7" t="s">
        <v>155</v>
      </c>
      <c r="F55" s="8" t="s">
        <v>291</v>
      </c>
      <c r="G55" s="8" t="s">
        <v>292</v>
      </c>
      <c r="H55" s="8">
        <v>41</v>
      </c>
      <c r="I55" s="7" t="s">
        <v>97</v>
      </c>
      <c r="J55" s="8">
        <v>127</v>
      </c>
      <c r="K55" s="8">
        <v>112</v>
      </c>
      <c r="L55" s="8">
        <v>6</v>
      </c>
      <c r="M55" s="8">
        <v>3</v>
      </c>
      <c r="N55" s="8">
        <v>30</v>
      </c>
      <c r="O55" s="8">
        <v>0</v>
      </c>
      <c r="P55" s="8">
        <v>974.09</v>
      </c>
      <c r="Q55" s="8">
        <v>60</v>
      </c>
      <c r="R55" s="8" t="s">
        <v>83</v>
      </c>
      <c r="S55" s="8">
        <v>14</v>
      </c>
      <c r="T55" s="8" t="s">
        <v>75</v>
      </c>
      <c r="U55" s="7" t="s">
        <v>159</v>
      </c>
    </row>
    <row r="56" spans="1:21" ht="15" customHeight="1" x14ac:dyDescent="0.3">
      <c r="A56" s="7" t="s">
        <v>293</v>
      </c>
      <c r="B56" s="7" t="s">
        <v>68</v>
      </c>
      <c r="C56" s="7" t="s">
        <v>33</v>
      </c>
      <c r="D56" s="7" t="s">
        <v>87</v>
      </c>
      <c r="E56" s="7" t="s">
        <v>94</v>
      </c>
      <c r="F56" s="8" t="s">
        <v>294</v>
      </c>
      <c r="G56" s="8" t="s">
        <v>295</v>
      </c>
      <c r="H56" s="8">
        <v>10</v>
      </c>
      <c r="I56" s="7" t="s">
        <v>107</v>
      </c>
      <c r="J56" s="8">
        <v>130</v>
      </c>
      <c r="K56" s="8">
        <v>120</v>
      </c>
      <c r="L56" s="8">
        <v>24</v>
      </c>
      <c r="M56" s="8">
        <v>15</v>
      </c>
      <c r="N56" s="8">
        <v>10</v>
      </c>
      <c r="O56" s="8">
        <v>8</v>
      </c>
      <c r="P56" s="8">
        <v>737.1</v>
      </c>
      <c r="Q56" s="8">
        <v>30</v>
      </c>
      <c r="R56" s="8" t="s">
        <v>74</v>
      </c>
      <c r="S56" s="8">
        <v>10</v>
      </c>
      <c r="T56" s="8" t="s">
        <v>75</v>
      </c>
      <c r="U56" s="7" t="s">
        <v>98</v>
      </c>
    </row>
    <row r="57" spans="1:21" ht="15" customHeight="1" x14ac:dyDescent="0.3">
      <c r="A57" s="7" t="s">
        <v>296</v>
      </c>
      <c r="B57" s="7" t="s">
        <v>68</v>
      </c>
      <c r="C57" s="7" t="s">
        <v>28</v>
      </c>
      <c r="D57" s="7" t="s">
        <v>232</v>
      </c>
      <c r="E57" s="7" t="s">
        <v>297</v>
      </c>
      <c r="F57" s="8" t="s">
        <v>298</v>
      </c>
      <c r="G57" s="8" t="s">
        <v>299</v>
      </c>
      <c r="H57" s="8">
        <v>5</v>
      </c>
      <c r="I57" s="7" t="s">
        <v>202</v>
      </c>
      <c r="J57" s="8">
        <v>74</v>
      </c>
      <c r="K57" s="8">
        <v>69</v>
      </c>
      <c r="L57" s="8">
        <v>4</v>
      </c>
      <c r="M57" s="8">
        <v>4</v>
      </c>
      <c r="N57" s="8">
        <v>20</v>
      </c>
      <c r="O57" s="8">
        <v>11</v>
      </c>
      <c r="P57" s="8">
        <v>334.48</v>
      </c>
      <c r="Q57" s="8">
        <v>30</v>
      </c>
      <c r="R57" s="8" t="s">
        <v>83</v>
      </c>
      <c r="S57" s="8">
        <v>4</v>
      </c>
      <c r="T57" s="8" t="s">
        <v>75</v>
      </c>
      <c r="U57" s="7" t="s">
        <v>300</v>
      </c>
    </row>
    <row r="58" spans="1:21" ht="15" customHeight="1" x14ac:dyDescent="0.3">
      <c r="A58" s="7" t="s">
        <v>301</v>
      </c>
      <c r="B58" s="7" t="s">
        <v>68</v>
      </c>
      <c r="C58" s="7" t="s">
        <v>33</v>
      </c>
      <c r="D58" s="7" t="s">
        <v>69</v>
      </c>
      <c r="E58" s="7" t="s">
        <v>94</v>
      </c>
      <c r="F58" s="8" t="s">
        <v>302</v>
      </c>
      <c r="G58" s="8" t="s">
        <v>303</v>
      </c>
      <c r="H58" s="8">
        <v>28</v>
      </c>
      <c r="I58" s="7" t="s">
        <v>115</v>
      </c>
      <c r="J58" s="8">
        <v>80</v>
      </c>
      <c r="K58" s="8">
        <v>73</v>
      </c>
      <c r="L58" s="8">
        <v>15</v>
      </c>
      <c r="M58" s="8">
        <v>7</v>
      </c>
      <c r="N58" s="8">
        <v>8</v>
      </c>
      <c r="O58" s="8">
        <v>2</v>
      </c>
      <c r="P58" s="8">
        <v>579.20000000000005</v>
      </c>
      <c r="Q58" s="8">
        <v>30</v>
      </c>
      <c r="R58" s="8" t="s">
        <v>83</v>
      </c>
      <c r="S58" s="8">
        <v>3</v>
      </c>
      <c r="T58" s="8" t="s">
        <v>75</v>
      </c>
      <c r="U58" s="7" t="s">
        <v>98</v>
      </c>
    </row>
    <row r="59" spans="1:21" ht="15" customHeight="1" x14ac:dyDescent="0.3">
      <c r="A59" s="7" t="s">
        <v>304</v>
      </c>
      <c r="B59" s="7" t="s">
        <v>68</v>
      </c>
      <c r="C59" s="7" t="s">
        <v>33</v>
      </c>
      <c r="D59" s="7" t="s">
        <v>69</v>
      </c>
      <c r="E59" s="7" t="s">
        <v>88</v>
      </c>
      <c r="F59" s="8" t="s">
        <v>305</v>
      </c>
      <c r="G59" s="8" t="s">
        <v>306</v>
      </c>
      <c r="H59" s="8">
        <v>10</v>
      </c>
      <c r="I59" s="7" t="s">
        <v>111</v>
      </c>
      <c r="J59" s="8">
        <v>38</v>
      </c>
      <c r="K59" s="8">
        <v>37</v>
      </c>
      <c r="L59" s="8">
        <v>3</v>
      </c>
      <c r="M59" s="8">
        <v>1</v>
      </c>
      <c r="N59" s="8">
        <v>19</v>
      </c>
      <c r="O59" s="8">
        <v>0</v>
      </c>
      <c r="P59" s="8">
        <v>211.28</v>
      </c>
      <c r="Q59" s="8">
        <v>20</v>
      </c>
      <c r="R59" s="8" t="s">
        <v>83</v>
      </c>
      <c r="S59" s="8">
        <v>3</v>
      </c>
      <c r="T59" s="8" t="s">
        <v>75</v>
      </c>
      <c r="U59" s="7" t="s">
        <v>92</v>
      </c>
    </row>
    <row r="60" spans="1:21" ht="15" customHeight="1" x14ac:dyDescent="0.3">
      <c r="A60" s="7" t="s">
        <v>307</v>
      </c>
      <c r="B60" s="7" t="s">
        <v>68</v>
      </c>
      <c r="C60" s="7" t="s">
        <v>37</v>
      </c>
      <c r="D60" s="7" t="s">
        <v>78</v>
      </c>
      <c r="E60" s="7" t="s">
        <v>130</v>
      </c>
      <c r="F60" s="8" t="s">
        <v>308</v>
      </c>
      <c r="G60" s="8" t="s">
        <v>309</v>
      </c>
      <c r="H60" s="8">
        <v>31</v>
      </c>
      <c r="I60" s="7" t="s">
        <v>73</v>
      </c>
      <c r="J60" s="8">
        <v>57</v>
      </c>
      <c r="K60" s="8">
        <v>53</v>
      </c>
      <c r="L60" s="8">
        <v>8</v>
      </c>
      <c r="M60" s="8">
        <v>7</v>
      </c>
      <c r="N60" s="8">
        <v>87</v>
      </c>
      <c r="O60" s="8">
        <v>2</v>
      </c>
      <c r="P60" s="8">
        <v>442.32</v>
      </c>
      <c r="Q60" s="8">
        <v>40</v>
      </c>
      <c r="R60" s="8" t="s">
        <v>83</v>
      </c>
      <c r="S60" s="8">
        <v>4</v>
      </c>
      <c r="T60" s="8" t="s">
        <v>84</v>
      </c>
      <c r="U60" s="7" t="s">
        <v>133</v>
      </c>
    </row>
    <row r="61" spans="1:21" ht="15" customHeight="1" x14ac:dyDescent="0.3">
      <c r="A61" s="7" t="s">
        <v>310</v>
      </c>
      <c r="B61" s="7" t="s">
        <v>68</v>
      </c>
      <c r="C61" s="7" t="s">
        <v>33</v>
      </c>
      <c r="D61" s="7" t="s">
        <v>87</v>
      </c>
      <c r="E61" s="7" t="s">
        <v>70</v>
      </c>
      <c r="F61" s="8" t="s">
        <v>311</v>
      </c>
      <c r="G61" s="8" t="s">
        <v>312</v>
      </c>
      <c r="H61" s="8">
        <v>8</v>
      </c>
      <c r="I61" s="7" t="s">
        <v>91</v>
      </c>
      <c r="J61" s="8">
        <v>83</v>
      </c>
      <c r="K61" s="8">
        <v>81</v>
      </c>
      <c r="L61" s="8">
        <v>8</v>
      </c>
      <c r="M61" s="8">
        <v>13</v>
      </c>
      <c r="N61" s="8">
        <v>13</v>
      </c>
      <c r="O61" s="8">
        <v>0</v>
      </c>
      <c r="P61" s="8">
        <v>366.03</v>
      </c>
      <c r="Q61" s="8">
        <v>25</v>
      </c>
      <c r="R61" s="8" t="s">
        <v>74</v>
      </c>
      <c r="S61" s="8">
        <v>6</v>
      </c>
      <c r="T61" s="8" t="s">
        <v>164</v>
      </c>
      <c r="U61" s="7" t="s">
        <v>76</v>
      </c>
    </row>
    <row r="62" spans="1:21" ht="15" customHeight="1" x14ac:dyDescent="0.3">
      <c r="A62" s="7" t="s">
        <v>313</v>
      </c>
      <c r="B62" s="7" t="s">
        <v>68</v>
      </c>
      <c r="C62" s="7" t="s">
        <v>33</v>
      </c>
      <c r="D62" s="7" t="s">
        <v>87</v>
      </c>
      <c r="E62" s="7" t="s">
        <v>70</v>
      </c>
      <c r="F62" s="8" t="s">
        <v>314</v>
      </c>
      <c r="G62" s="8" t="s">
        <v>315</v>
      </c>
      <c r="H62" s="8">
        <v>8</v>
      </c>
      <c r="I62" s="7" t="s">
        <v>158</v>
      </c>
      <c r="J62" s="8">
        <v>163</v>
      </c>
      <c r="K62" s="8">
        <v>162</v>
      </c>
      <c r="L62" s="8">
        <v>20</v>
      </c>
      <c r="M62" s="8">
        <v>11</v>
      </c>
      <c r="N62" s="8">
        <v>3</v>
      </c>
      <c r="O62" s="8">
        <v>1</v>
      </c>
      <c r="P62" s="8">
        <v>891.61</v>
      </c>
      <c r="Q62" s="8">
        <v>25</v>
      </c>
      <c r="R62" s="8" t="s">
        <v>74</v>
      </c>
      <c r="S62" s="8">
        <v>11</v>
      </c>
      <c r="T62" s="8" t="s">
        <v>75</v>
      </c>
      <c r="U62" s="7" t="s">
        <v>76</v>
      </c>
    </row>
    <row r="63" spans="1:21" ht="15" customHeight="1" x14ac:dyDescent="0.3">
      <c r="A63" s="7" t="s">
        <v>316</v>
      </c>
      <c r="B63" s="7" t="s">
        <v>68</v>
      </c>
      <c r="C63" s="7" t="s">
        <v>28</v>
      </c>
      <c r="D63" s="7" t="s">
        <v>232</v>
      </c>
      <c r="E63" s="7" t="s">
        <v>180</v>
      </c>
      <c r="F63" s="8" t="s">
        <v>317</v>
      </c>
      <c r="G63" s="8" t="s">
        <v>318</v>
      </c>
      <c r="H63" s="8">
        <v>16</v>
      </c>
      <c r="I63" s="7" t="s">
        <v>121</v>
      </c>
      <c r="J63" s="8">
        <v>141</v>
      </c>
      <c r="K63" s="8">
        <v>126</v>
      </c>
      <c r="L63" s="8">
        <v>6</v>
      </c>
      <c r="M63" s="8">
        <v>3</v>
      </c>
      <c r="N63" s="8">
        <v>19</v>
      </c>
      <c r="O63" s="8">
        <v>7</v>
      </c>
      <c r="P63" s="8">
        <v>609.12</v>
      </c>
      <c r="Q63" s="8">
        <v>20</v>
      </c>
      <c r="R63" s="8" t="s">
        <v>83</v>
      </c>
      <c r="S63" s="8">
        <v>11</v>
      </c>
      <c r="T63" s="8" t="s">
        <v>75</v>
      </c>
      <c r="U63" s="7" t="s">
        <v>183</v>
      </c>
    </row>
    <row r="64" spans="1:21" ht="15" customHeight="1" x14ac:dyDescent="0.3">
      <c r="A64" s="7" t="s">
        <v>319</v>
      </c>
      <c r="B64" s="7" t="s">
        <v>68</v>
      </c>
      <c r="C64" s="7" t="s">
        <v>40</v>
      </c>
      <c r="D64" s="7" t="s">
        <v>154</v>
      </c>
      <c r="E64" s="7" t="s">
        <v>224</v>
      </c>
      <c r="F64" s="8" t="s">
        <v>320</v>
      </c>
      <c r="G64" s="8" t="s">
        <v>321</v>
      </c>
      <c r="H64" s="8">
        <v>6</v>
      </c>
      <c r="I64" s="7" t="s">
        <v>127</v>
      </c>
      <c r="J64" s="8">
        <v>93</v>
      </c>
      <c r="K64" s="8">
        <v>86</v>
      </c>
      <c r="L64" s="8">
        <v>0</v>
      </c>
      <c r="M64" s="8">
        <v>0</v>
      </c>
      <c r="N64" s="8">
        <v>67</v>
      </c>
      <c r="O64" s="8">
        <v>6</v>
      </c>
      <c r="P64" s="8">
        <v>476.16</v>
      </c>
      <c r="Q64" s="8">
        <v>25</v>
      </c>
      <c r="R64" s="8" t="s">
        <v>83</v>
      </c>
      <c r="S64" s="8">
        <v>11</v>
      </c>
      <c r="T64" s="8" t="s">
        <v>122</v>
      </c>
      <c r="U64" s="7" t="s">
        <v>227</v>
      </c>
    </row>
    <row r="65" spans="1:21" ht="15" customHeight="1" x14ac:dyDescent="0.3">
      <c r="A65" s="7" t="s">
        <v>322</v>
      </c>
      <c r="B65" s="7" t="s">
        <v>68</v>
      </c>
      <c r="C65" s="7" t="s">
        <v>40</v>
      </c>
      <c r="D65" s="7" t="s">
        <v>154</v>
      </c>
      <c r="E65" s="7" t="s">
        <v>213</v>
      </c>
      <c r="F65" s="8" t="s">
        <v>323</v>
      </c>
      <c r="G65" s="8" t="s">
        <v>324</v>
      </c>
      <c r="H65" s="8">
        <v>17</v>
      </c>
      <c r="I65" s="7" t="s">
        <v>121</v>
      </c>
      <c r="J65" s="8">
        <v>197</v>
      </c>
      <c r="K65" s="8">
        <v>193</v>
      </c>
      <c r="L65" s="8">
        <v>22</v>
      </c>
      <c r="M65" s="8">
        <v>8</v>
      </c>
      <c r="N65" s="8">
        <v>0</v>
      </c>
      <c r="O65" s="8">
        <v>2</v>
      </c>
      <c r="P65" s="8">
        <v>823.46</v>
      </c>
      <c r="Q65" s="8">
        <v>15</v>
      </c>
      <c r="R65" s="8" t="s">
        <v>83</v>
      </c>
      <c r="S65" s="8">
        <v>11</v>
      </c>
      <c r="T65" s="8" t="s">
        <v>122</v>
      </c>
      <c r="U65" s="7" t="s">
        <v>216</v>
      </c>
    </row>
    <row r="66" spans="1:21" ht="15" customHeight="1" x14ac:dyDescent="0.3">
      <c r="A66" s="7" t="s">
        <v>325</v>
      </c>
      <c r="B66" s="7" t="s">
        <v>68</v>
      </c>
      <c r="C66" s="7" t="s">
        <v>33</v>
      </c>
      <c r="D66" s="7" t="s">
        <v>69</v>
      </c>
      <c r="E66" s="7" t="s">
        <v>88</v>
      </c>
      <c r="F66" s="8" t="s">
        <v>326</v>
      </c>
      <c r="G66" s="8" t="s">
        <v>327</v>
      </c>
      <c r="H66" s="8">
        <v>5</v>
      </c>
      <c r="I66" s="7" t="s">
        <v>107</v>
      </c>
      <c r="J66" s="8">
        <v>35</v>
      </c>
      <c r="K66" s="8">
        <v>34</v>
      </c>
      <c r="L66" s="8">
        <v>2</v>
      </c>
      <c r="M66" s="8">
        <v>11</v>
      </c>
      <c r="N66" s="8">
        <v>0</v>
      </c>
      <c r="O66" s="8">
        <v>6</v>
      </c>
      <c r="P66" s="8">
        <v>196.35</v>
      </c>
      <c r="Q66" s="8">
        <v>20</v>
      </c>
      <c r="R66" s="8" t="s">
        <v>74</v>
      </c>
      <c r="S66" s="8">
        <v>1</v>
      </c>
      <c r="T66" s="8" t="s">
        <v>164</v>
      </c>
      <c r="U66" s="7" t="s">
        <v>92</v>
      </c>
    </row>
    <row r="67" spans="1:21" ht="15" customHeight="1" x14ac:dyDescent="0.3">
      <c r="A67" s="7" t="s">
        <v>328</v>
      </c>
      <c r="B67" s="7" t="s">
        <v>68</v>
      </c>
      <c r="C67" s="7" t="s">
        <v>33</v>
      </c>
      <c r="D67" s="7" t="s">
        <v>87</v>
      </c>
      <c r="E67" s="7" t="s">
        <v>88</v>
      </c>
      <c r="F67" s="8" t="s">
        <v>329</v>
      </c>
      <c r="G67" s="8" t="s">
        <v>330</v>
      </c>
      <c r="H67" s="8">
        <v>11</v>
      </c>
      <c r="I67" s="7" t="s">
        <v>107</v>
      </c>
      <c r="J67" s="8">
        <v>167</v>
      </c>
      <c r="K67" s="8">
        <v>149</v>
      </c>
      <c r="L67" s="8">
        <v>3</v>
      </c>
      <c r="M67" s="8">
        <v>16</v>
      </c>
      <c r="N67" s="8">
        <v>17</v>
      </c>
      <c r="O67" s="8">
        <v>5</v>
      </c>
      <c r="P67" s="8">
        <v>1070.47</v>
      </c>
      <c r="Q67" s="8">
        <v>20</v>
      </c>
      <c r="R67" s="8" t="s">
        <v>83</v>
      </c>
      <c r="S67" s="8">
        <v>3</v>
      </c>
      <c r="T67" s="8" t="s">
        <v>122</v>
      </c>
      <c r="U67" s="7" t="s">
        <v>92</v>
      </c>
    </row>
    <row r="68" spans="1:21" ht="15" customHeight="1" x14ac:dyDescent="0.3">
      <c r="A68" s="7" t="s">
        <v>331</v>
      </c>
      <c r="B68" s="7" t="s">
        <v>68</v>
      </c>
      <c r="C68" s="7" t="s">
        <v>140</v>
      </c>
      <c r="D68" s="7" t="s">
        <v>141</v>
      </c>
      <c r="E68" s="7" t="s">
        <v>277</v>
      </c>
      <c r="F68" s="8" t="s">
        <v>332</v>
      </c>
      <c r="G68" s="8" t="s">
        <v>333</v>
      </c>
      <c r="H68" s="8">
        <v>7</v>
      </c>
      <c r="I68" s="7" t="s">
        <v>115</v>
      </c>
      <c r="J68" s="8">
        <v>127</v>
      </c>
      <c r="K68" s="8">
        <v>119</v>
      </c>
      <c r="L68" s="8">
        <v>2</v>
      </c>
      <c r="M68" s="8">
        <v>3</v>
      </c>
      <c r="N68" s="8">
        <v>5</v>
      </c>
      <c r="O68" s="8">
        <v>1</v>
      </c>
      <c r="P68" s="8">
        <v>386.08</v>
      </c>
      <c r="Q68" s="8">
        <v>15</v>
      </c>
      <c r="R68" s="8" t="s">
        <v>74</v>
      </c>
      <c r="S68" s="8">
        <v>2</v>
      </c>
      <c r="T68" s="8" t="s">
        <v>75</v>
      </c>
      <c r="U68" s="7" t="s">
        <v>280</v>
      </c>
    </row>
    <row r="69" spans="1:21" ht="15" customHeight="1" x14ac:dyDescent="0.3">
      <c r="A69" s="7" t="s">
        <v>334</v>
      </c>
      <c r="B69" s="7" t="s">
        <v>68</v>
      </c>
      <c r="C69" s="7" t="s">
        <v>37</v>
      </c>
      <c r="D69" s="7" t="s">
        <v>78</v>
      </c>
      <c r="E69" s="7" t="s">
        <v>79</v>
      </c>
      <c r="F69" s="8" t="s">
        <v>335</v>
      </c>
      <c r="G69" s="8" t="s">
        <v>336</v>
      </c>
      <c r="H69" s="8">
        <v>3</v>
      </c>
      <c r="I69" s="7" t="s">
        <v>202</v>
      </c>
      <c r="J69" s="8">
        <v>119</v>
      </c>
      <c r="K69" s="8">
        <v>110</v>
      </c>
      <c r="L69" s="8">
        <v>4</v>
      </c>
      <c r="M69" s="8">
        <v>16</v>
      </c>
      <c r="N69" s="8">
        <v>47</v>
      </c>
      <c r="O69" s="8">
        <v>2</v>
      </c>
      <c r="P69" s="8">
        <v>448.63</v>
      </c>
      <c r="Q69" s="8">
        <v>20</v>
      </c>
      <c r="R69" s="8" t="s">
        <v>83</v>
      </c>
      <c r="S69" s="8">
        <v>3</v>
      </c>
      <c r="T69" s="8" t="s">
        <v>122</v>
      </c>
      <c r="U69" s="7" t="s">
        <v>85</v>
      </c>
    </row>
    <row r="70" spans="1:21" ht="15" customHeight="1" x14ac:dyDescent="0.3">
      <c r="A70" s="7" t="s">
        <v>337</v>
      </c>
      <c r="B70" s="7" t="s">
        <v>68</v>
      </c>
      <c r="C70" s="7" t="s">
        <v>37</v>
      </c>
      <c r="D70" s="7" t="s">
        <v>78</v>
      </c>
      <c r="E70" s="7" t="s">
        <v>100</v>
      </c>
      <c r="F70" s="8" t="s">
        <v>338</v>
      </c>
      <c r="G70" s="8" t="s">
        <v>339</v>
      </c>
      <c r="H70" s="8">
        <v>10</v>
      </c>
      <c r="I70" s="7" t="s">
        <v>202</v>
      </c>
      <c r="J70" s="8">
        <v>120</v>
      </c>
      <c r="K70" s="8">
        <v>110</v>
      </c>
      <c r="L70" s="8">
        <v>2</v>
      </c>
      <c r="M70" s="8">
        <v>0</v>
      </c>
      <c r="N70" s="8">
        <v>7</v>
      </c>
      <c r="O70" s="8">
        <v>0</v>
      </c>
      <c r="P70" s="8">
        <v>321.60000000000002</v>
      </c>
      <c r="Q70" s="8">
        <v>15</v>
      </c>
      <c r="R70" s="8" t="s">
        <v>83</v>
      </c>
      <c r="S70" s="8">
        <v>1</v>
      </c>
      <c r="T70" s="8" t="s">
        <v>75</v>
      </c>
      <c r="U70" s="7" t="s">
        <v>103</v>
      </c>
    </row>
    <row r="71" spans="1:21" ht="15" customHeight="1" x14ac:dyDescent="0.3">
      <c r="A71" s="7" t="s">
        <v>340</v>
      </c>
      <c r="B71" s="7" t="s">
        <v>68</v>
      </c>
      <c r="C71" s="7" t="s">
        <v>28</v>
      </c>
      <c r="D71" s="7" t="s">
        <v>232</v>
      </c>
      <c r="E71" s="7" t="s">
        <v>118</v>
      </c>
      <c r="F71" s="8" t="s">
        <v>341</v>
      </c>
      <c r="G71" s="8" t="s">
        <v>342</v>
      </c>
      <c r="H71" s="8">
        <v>33</v>
      </c>
      <c r="I71" s="7" t="s">
        <v>158</v>
      </c>
      <c r="J71" s="8">
        <v>32</v>
      </c>
      <c r="K71" s="8">
        <v>31</v>
      </c>
      <c r="L71" s="8">
        <v>0</v>
      </c>
      <c r="M71" s="8">
        <v>0</v>
      </c>
      <c r="N71" s="8">
        <v>14</v>
      </c>
      <c r="O71" s="8">
        <v>46</v>
      </c>
      <c r="P71" s="8">
        <v>169.28</v>
      </c>
      <c r="Q71" s="8">
        <v>30</v>
      </c>
      <c r="R71" s="8" t="s">
        <v>83</v>
      </c>
      <c r="S71" s="8">
        <v>2</v>
      </c>
      <c r="T71" s="8" t="s">
        <v>122</v>
      </c>
      <c r="U71" s="7" t="s">
        <v>123</v>
      </c>
    </row>
    <row r="72" spans="1:21" ht="15" customHeight="1" x14ac:dyDescent="0.3">
      <c r="A72" s="7" t="s">
        <v>343</v>
      </c>
      <c r="B72" s="7" t="s">
        <v>68</v>
      </c>
      <c r="C72" s="7" t="s">
        <v>40</v>
      </c>
      <c r="D72" s="7" t="s">
        <v>170</v>
      </c>
      <c r="E72" s="7" t="s">
        <v>213</v>
      </c>
      <c r="F72" s="8" t="s">
        <v>344</v>
      </c>
      <c r="G72" s="8" t="s">
        <v>345</v>
      </c>
      <c r="H72" s="8">
        <v>3</v>
      </c>
      <c r="I72" s="7" t="s">
        <v>202</v>
      </c>
      <c r="J72" s="8">
        <v>91</v>
      </c>
      <c r="K72" s="8">
        <v>86</v>
      </c>
      <c r="L72" s="8">
        <v>11</v>
      </c>
      <c r="M72" s="8">
        <v>1</v>
      </c>
      <c r="N72" s="8">
        <v>3</v>
      </c>
      <c r="O72" s="8">
        <v>11</v>
      </c>
      <c r="P72" s="8">
        <v>271.18</v>
      </c>
      <c r="Q72" s="8">
        <v>15</v>
      </c>
      <c r="R72" s="8" t="s">
        <v>83</v>
      </c>
      <c r="S72" s="8">
        <v>2</v>
      </c>
      <c r="T72" s="8" t="s">
        <v>75</v>
      </c>
      <c r="U72" s="7" t="s">
        <v>216</v>
      </c>
    </row>
    <row r="73" spans="1:21" ht="15" customHeight="1" x14ac:dyDescent="0.3">
      <c r="A73" s="7" t="s">
        <v>346</v>
      </c>
      <c r="B73" s="7" t="s">
        <v>68</v>
      </c>
      <c r="C73" s="7" t="s">
        <v>40</v>
      </c>
      <c r="D73" s="7" t="s">
        <v>170</v>
      </c>
      <c r="E73" s="7" t="s">
        <v>224</v>
      </c>
      <c r="F73" s="8" t="s">
        <v>347</v>
      </c>
      <c r="G73" s="8" t="s">
        <v>348</v>
      </c>
      <c r="H73" s="8">
        <v>19</v>
      </c>
      <c r="I73" s="7" t="s">
        <v>202</v>
      </c>
      <c r="J73" s="8">
        <v>109</v>
      </c>
      <c r="K73" s="8">
        <v>104</v>
      </c>
      <c r="L73" s="8">
        <v>1</v>
      </c>
      <c r="M73" s="8">
        <v>1</v>
      </c>
      <c r="N73" s="8">
        <v>3</v>
      </c>
      <c r="O73" s="8">
        <v>0</v>
      </c>
      <c r="P73" s="8">
        <v>420.74</v>
      </c>
      <c r="Q73" s="8">
        <v>25</v>
      </c>
      <c r="R73" s="8" t="s">
        <v>74</v>
      </c>
      <c r="S73" s="8">
        <v>5</v>
      </c>
      <c r="T73" s="8" t="s">
        <v>75</v>
      </c>
      <c r="U73" s="7" t="s">
        <v>227</v>
      </c>
    </row>
    <row r="74" spans="1:21" ht="15" customHeight="1" x14ac:dyDescent="0.3">
      <c r="A74" s="7" t="s">
        <v>349</v>
      </c>
      <c r="B74" s="7" t="s">
        <v>68</v>
      </c>
      <c r="C74" s="7" t="s">
        <v>28</v>
      </c>
      <c r="D74" s="7" t="s">
        <v>117</v>
      </c>
      <c r="E74" s="7" t="s">
        <v>118</v>
      </c>
      <c r="F74" s="8" t="s">
        <v>350</v>
      </c>
      <c r="G74" s="8" t="s">
        <v>351</v>
      </c>
      <c r="H74" s="8">
        <v>19</v>
      </c>
      <c r="I74" s="7" t="s">
        <v>111</v>
      </c>
      <c r="J74" s="8">
        <v>25</v>
      </c>
      <c r="K74" s="8">
        <v>22</v>
      </c>
      <c r="L74" s="8">
        <v>0</v>
      </c>
      <c r="M74" s="8">
        <v>0</v>
      </c>
      <c r="N74" s="8">
        <v>27</v>
      </c>
      <c r="O74" s="8">
        <v>3</v>
      </c>
      <c r="P74" s="8">
        <v>126.5</v>
      </c>
      <c r="Q74" s="8">
        <v>30</v>
      </c>
      <c r="R74" s="8" t="s">
        <v>83</v>
      </c>
      <c r="S74" s="8">
        <v>0</v>
      </c>
      <c r="T74" s="8" t="s">
        <v>75</v>
      </c>
      <c r="U74" s="7" t="s">
        <v>123</v>
      </c>
    </row>
    <row r="75" spans="1:21" ht="15" customHeight="1" x14ac:dyDescent="0.3">
      <c r="A75" s="7" t="s">
        <v>352</v>
      </c>
      <c r="B75" s="7" t="s">
        <v>68</v>
      </c>
      <c r="C75" s="7" t="s">
        <v>28</v>
      </c>
      <c r="D75" s="7" t="s">
        <v>117</v>
      </c>
      <c r="E75" s="7" t="s">
        <v>353</v>
      </c>
      <c r="F75" s="8" t="s">
        <v>354</v>
      </c>
      <c r="G75" s="8" t="s">
        <v>355</v>
      </c>
      <c r="H75" s="8">
        <v>26</v>
      </c>
      <c r="I75" s="7" t="s">
        <v>82</v>
      </c>
      <c r="J75" s="8">
        <v>114</v>
      </c>
      <c r="K75" s="8">
        <v>105</v>
      </c>
      <c r="L75" s="8">
        <v>13</v>
      </c>
      <c r="M75" s="8">
        <v>9</v>
      </c>
      <c r="N75" s="8">
        <v>0</v>
      </c>
      <c r="O75" s="8">
        <v>0</v>
      </c>
      <c r="P75" s="8">
        <v>514.14</v>
      </c>
      <c r="Q75" s="8">
        <v>25</v>
      </c>
      <c r="R75" s="8" t="s">
        <v>74</v>
      </c>
      <c r="S75" s="8">
        <v>8</v>
      </c>
      <c r="T75" s="8" t="s">
        <v>75</v>
      </c>
      <c r="U75" s="7" t="s">
        <v>356</v>
      </c>
    </row>
    <row r="76" spans="1:21" ht="15" customHeight="1" x14ac:dyDescent="0.3">
      <c r="A76" s="7" t="s">
        <v>357</v>
      </c>
      <c r="B76" s="7" t="s">
        <v>68</v>
      </c>
      <c r="C76" s="7" t="s">
        <v>28</v>
      </c>
      <c r="D76" s="7" t="s">
        <v>117</v>
      </c>
      <c r="E76" s="7" t="s">
        <v>297</v>
      </c>
      <c r="F76" s="8" t="s">
        <v>358</v>
      </c>
      <c r="G76" s="8" t="s">
        <v>359</v>
      </c>
      <c r="H76" s="8">
        <v>13</v>
      </c>
      <c r="I76" s="7" t="s">
        <v>158</v>
      </c>
      <c r="J76" s="8">
        <v>26</v>
      </c>
      <c r="K76" s="8">
        <v>25</v>
      </c>
      <c r="L76" s="8">
        <v>0</v>
      </c>
      <c r="M76" s="8">
        <v>2</v>
      </c>
      <c r="N76" s="8">
        <v>51</v>
      </c>
      <c r="O76" s="8">
        <v>50</v>
      </c>
      <c r="P76" s="8">
        <v>156</v>
      </c>
      <c r="Q76" s="8">
        <v>30</v>
      </c>
      <c r="R76" s="8" t="s">
        <v>83</v>
      </c>
      <c r="S76" s="8">
        <v>0</v>
      </c>
      <c r="T76" s="8" t="s">
        <v>75</v>
      </c>
      <c r="U76" s="7" t="s">
        <v>300</v>
      </c>
    </row>
    <row r="77" spans="1:21" ht="15" customHeight="1" x14ac:dyDescent="0.3">
      <c r="A77" s="7" t="s">
        <v>360</v>
      </c>
      <c r="B77" s="7" t="s">
        <v>68</v>
      </c>
      <c r="C77" s="7" t="s">
        <v>37</v>
      </c>
      <c r="D77" s="7" t="s">
        <v>129</v>
      </c>
      <c r="E77" s="7" t="s">
        <v>100</v>
      </c>
      <c r="F77" s="8" t="s">
        <v>361</v>
      </c>
      <c r="G77" s="8" t="s">
        <v>362</v>
      </c>
      <c r="H77" s="8">
        <v>8</v>
      </c>
      <c r="I77" s="7" t="s">
        <v>73</v>
      </c>
      <c r="J77" s="8">
        <v>180</v>
      </c>
      <c r="K77" s="8">
        <v>166</v>
      </c>
      <c r="L77" s="8">
        <v>5</v>
      </c>
      <c r="M77" s="8">
        <v>4</v>
      </c>
      <c r="N77" s="8">
        <v>1</v>
      </c>
      <c r="O77" s="8">
        <v>1</v>
      </c>
      <c r="P77" s="8">
        <v>437.4</v>
      </c>
      <c r="Q77" s="8">
        <v>15</v>
      </c>
      <c r="R77" s="8" t="s">
        <v>74</v>
      </c>
      <c r="S77" s="8">
        <v>4</v>
      </c>
      <c r="T77" s="8" t="s">
        <v>75</v>
      </c>
      <c r="U77" s="7" t="s">
        <v>103</v>
      </c>
    </row>
    <row r="78" spans="1:21" ht="15" customHeight="1" x14ac:dyDescent="0.3">
      <c r="A78" s="7" t="s">
        <v>363</v>
      </c>
      <c r="B78" s="7" t="s">
        <v>68</v>
      </c>
      <c r="C78" s="7" t="s">
        <v>40</v>
      </c>
      <c r="D78" s="7" t="s">
        <v>170</v>
      </c>
      <c r="E78" s="7" t="s">
        <v>155</v>
      </c>
      <c r="F78" s="8" t="s">
        <v>364</v>
      </c>
      <c r="G78" s="8" t="s">
        <v>365</v>
      </c>
      <c r="H78" s="8">
        <v>59</v>
      </c>
      <c r="I78" s="7" t="s">
        <v>82</v>
      </c>
      <c r="J78" s="8">
        <v>189</v>
      </c>
      <c r="K78" s="8">
        <v>178</v>
      </c>
      <c r="L78" s="8">
        <v>3</v>
      </c>
      <c r="M78" s="8">
        <v>3</v>
      </c>
      <c r="N78" s="8">
        <v>17</v>
      </c>
      <c r="O78" s="8">
        <v>2</v>
      </c>
      <c r="P78" s="8">
        <v>1508.22</v>
      </c>
      <c r="Q78" s="8">
        <v>60</v>
      </c>
      <c r="R78" s="8" t="s">
        <v>83</v>
      </c>
      <c r="S78" s="8">
        <v>9</v>
      </c>
      <c r="T78" s="8" t="s">
        <v>122</v>
      </c>
      <c r="U78" s="7" t="s">
        <v>159</v>
      </c>
    </row>
    <row r="79" spans="1:21" ht="15" customHeight="1" x14ac:dyDescent="0.3">
      <c r="A79" s="7" t="s">
        <v>366</v>
      </c>
      <c r="B79" s="7" t="s">
        <v>68</v>
      </c>
      <c r="C79" s="7" t="s">
        <v>28</v>
      </c>
      <c r="D79" s="7" t="s">
        <v>232</v>
      </c>
      <c r="E79" s="7" t="s">
        <v>161</v>
      </c>
      <c r="F79" s="8" t="s">
        <v>367</v>
      </c>
      <c r="G79" s="8" t="s">
        <v>368</v>
      </c>
      <c r="H79" s="8">
        <v>25</v>
      </c>
      <c r="I79" s="7" t="s">
        <v>111</v>
      </c>
      <c r="J79" s="8">
        <v>130</v>
      </c>
      <c r="K79" s="8">
        <v>119</v>
      </c>
      <c r="L79" s="8">
        <v>14</v>
      </c>
      <c r="M79" s="8">
        <v>10</v>
      </c>
      <c r="N79" s="8">
        <v>2</v>
      </c>
      <c r="O79" s="8">
        <v>0</v>
      </c>
      <c r="P79" s="8">
        <v>616.20000000000005</v>
      </c>
      <c r="Q79" s="8">
        <v>30</v>
      </c>
      <c r="R79" s="8" t="s">
        <v>74</v>
      </c>
      <c r="S79" s="8">
        <v>11</v>
      </c>
      <c r="T79" s="8" t="s">
        <v>75</v>
      </c>
      <c r="U79" s="7" t="s">
        <v>165</v>
      </c>
    </row>
    <row r="80" spans="1:21" ht="15" customHeight="1" x14ac:dyDescent="0.3">
      <c r="A80" s="7" t="s">
        <v>369</v>
      </c>
      <c r="B80" s="7" t="s">
        <v>68</v>
      </c>
      <c r="C80" s="7" t="s">
        <v>28</v>
      </c>
      <c r="D80" s="7" t="s">
        <v>117</v>
      </c>
      <c r="E80" s="7" t="s">
        <v>180</v>
      </c>
      <c r="F80" s="8" t="s">
        <v>370</v>
      </c>
      <c r="G80" s="8" t="s">
        <v>371</v>
      </c>
      <c r="H80" s="8">
        <v>50</v>
      </c>
      <c r="I80" s="7" t="s">
        <v>107</v>
      </c>
      <c r="J80" s="8">
        <v>89</v>
      </c>
      <c r="K80" s="8">
        <v>84</v>
      </c>
      <c r="L80" s="8">
        <v>1</v>
      </c>
      <c r="M80" s="8">
        <v>2</v>
      </c>
      <c r="N80" s="8">
        <v>38</v>
      </c>
      <c r="O80" s="8">
        <v>13</v>
      </c>
      <c r="P80" s="8">
        <v>355.11</v>
      </c>
      <c r="Q80" s="8">
        <v>20</v>
      </c>
      <c r="R80" s="8" t="s">
        <v>83</v>
      </c>
      <c r="S80" s="8">
        <v>5</v>
      </c>
      <c r="T80" s="8" t="s">
        <v>75</v>
      </c>
      <c r="U80" s="7" t="s">
        <v>183</v>
      </c>
    </row>
    <row r="81" spans="1:21" ht="15" customHeight="1" x14ac:dyDescent="0.3">
      <c r="A81" s="7" t="s">
        <v>372</v>
      </c>
      <c r="B81" s="7" t="s">
        <v>68</v>
      </c>
      <c r="C81" s="7" t="s">
        <v>28</v>
      </c>
      <c r="D81" s="7" t="s">
        <v>232</v>
      </c>
      <c r="E81" s="7" t="s">
        <v>353</v>
      </c>
      <c r="F81" s="8" t="s">
        <v>373</v>
      </c>
      <c r="G81" s="8" t="s">
        <v>374</v>
      </c>
      <c r="H81" s="8">
        <v>25</v>
      </c>
      <c r="I81" s="7" t="s">
        <v>107</v>
      </c>
      <c r="J81" s="8">
        <v>82</v>
      </c>
      <c r="K81" s="8">
        <v>77</v>
      </c>
      <c r="L81" s="8">
        <v>9</v>
      </c>
      <c r="M81" s="8">
        <v>9</v>
      </c>
      <c r="N81" s="8">
        <v>0</v>
      </c>
      <c r="O81" s="8">
        <v>1</v>
      </c>
      <c r="P81" s="8">
        <v>345.22</v>
      </c>
      <c r="Q81" s="8">
        <v>25</v>
      </c>
      <c r="R81" s="8" t="s">
        <v>74</v>
      </c>
      <c r="S81" s="8">
        <v>10</v>
      </c>
      <c r="T81" s="8" t="s">
        <v>75</v>
      </c>
      <c r="U81" s="7" t="s">
        <v>356</v>
      </c>
    </row>
    <row r="82" spans="1:21" ht="15" customHeight="1" x14ac:dyDescent="0.3">
      <c r="A82" s="7" t="s">
        <v>375</v>
      </c>
      <c r="B82" s="7" t="s">
        <v>68</v>
      </c>
      <c r="C82" s="7" t="s">
        <v>28</v>
      </c>
      <c r="D82" s="7" t="s">
        <v>232</v>
      </c>
      <c r="E82" s="7" t="s">
        <v>118</v>
      </c>
      <c r="F82" s="8" t="s">
        <v>376</v>
      </c>
      <c r="G82" s="8" t="s">
        <v>377</v>
      </c>
      <c r="H82" s="8">
        <v>6</v>
      </c>
      <c r="I82" s="7" t="s">
        <v>202</v>
      </c>
      <c r="J82" s="8">
        <v>176</v>
      </c>
      <c r="K82" s="8">
        <v>158</v>
      </c>
      <c r="L82" s="8">
        <v>4</v>
      </c>
      <c r="M82" s="8">
        <v>2</v>
      </c>
      <c r="N82" s="8">
        <v>2</v>
      </c>
      <c r="O82" s="8">
        <v>3</v>
      </c>
      <c r="P82" s="8">
        <v>892.32</v>
      </c>
      <c r="Q82" s="8">
        <v>30</v>
      </c>
      <c r="R82" s="8" t="s">
        <v>74</v>
      </c>
      <c r="S82" s="8">
        <v>8</v>
      </c>
      <c r="T82" s="8" t="s">
        <v>75</v>
      </c>
      <c r="U82" s="7" t="s">
        <v>123</v>
      </c>
    </row>
    <row r="83" spans="1:21" ht="15" customHeight="1" x14ac:dyDescent="0.3">
      <c r="A83" s="7" t="s">
        <v>378</v>
      </c>
      <c r="B83" s="7" t="s">
        <v>68</v>
      </c>
      <c r="C83" s="7" t="s">
        <v>40</v>
      </c>
      <c r="D83" s="7" t="s">
        <v>170</v>
      </c>
      <c r="E83" s="7" t="s">
        <v>213</v>
      </c>
      <c r="F83" s="8" t="s">
        <v>379</v>
      </c>
      <c r="G83" s="8" t="s">
        <v>380</v>
      </c>
      <c r="H83" s="8">
        <v>12</v>
      </c>
      <c r="I83" s="7" t="s">
        <v>202</v>
      </c>
      <c r="J83" s="8">
        <v>110</v>
      </c>
      <c r="K83" s="8">
        <v>109</v>
      </c>
      <c r="L83" s="8">
        <v>13</v>
      </c>
      <c r="M83" s="8">
        <v>2</v>
      </c>
      <c r="N83" s="8">
        <v>13</v>
      </c>
      <c r="O83" s="8">
        <v>0</v>
      </c>
      <c r="P83" s="8">
        <v>299.2</v>
      </c>
      <c r="Q83" s="8">
        <v>15</v>
      </c>
      <c r="R83" s="8" t="s">
        <v>83</v>
      </c>
      <c r="S83" s="8">
        <v>6</v>
      </c>
      <c r="T83" s="8" t="s">
        <v>75</v>
      </c>
      <c r="U83" s="7" t="s">
        <v>216</v>
      </c>
    </row>
    <row r="84" spans="1:21" ht="15" customHeight="1" x14ac:dyDescent="0.3">
      <c r="A84" s="7" t="s">
        <v>381</v>
      </c>
      <c r="B84" s="7" t="s">
        <v>68</v>
      </c>
      <c r="C84" s="7" t="s">
        <v>28</v>
      </c>
      <c r="D84" s="7" t="s">
        <v>232</v>
      </c>
      <c r="E84" s="7" t="s">
        <v>297</v>
      </c>
      <c r="F84" s="8" t="s">
        <v>382</v>
      </c>
      <c r="G84" s="8" t="s">
        <v>383</v>
      </c>
      <c r="H84" s="8">
        <v>14</v>
      </c>
      <c r="I84" s="7" t="s">
        <v>121</v>
      </c>
      <c r="J84" s="8">
        <v>41</v>
      </c>
      <c r="K84" s="8">
        <v>38</v>
      </c>
      <c r="L84" s="8">
        <v>3</v>
      </c>
      <c r="M84" s="8">
        <v>4</v>
      </c>
      <c r="N84" s="8">
        <v>4</v>
      </c>
      <c r="O84" s="8">
        <v>22</v>
      </c>
      <c r="P84" s="8">
        <v>207.46</v>
      </c>
      <c r="Q84" s="8">
        <v>30</v>
      </c>
      <c r="R84" s="8" t="s">
        <v>83</v>
      </c>
      <c r="S84" s="8">
        <v>3</v>
      </c>
      <c r="T84" s="8" t="s">
        <v>122</v>
      </c>
      <c r="U84" s="7" t="s">
        <v>300</v>
      </c>
    </row>
    <row r="85" spans="1:21" ht="15" customHeight="1" x14ac:dyDescent="0.3">
      <c r="A85" s="7" t="s">
        <v>384</v>
      </c>
      <c r="B85" s="7" t="s">
        <v>68</v>
      </c>
      <c r="C85" s="7" t="s">
        <v>28</v>
      </c>
      <c r="D85" s="7" t="s">
        <v>232</v>
      </c>
      <c r="E85" s="7" t="s">
        <v>263</v>
      </c>
      <c r="F85" s="8" t="s">
        <v>385</v>
      </c>
      <c r="G85" s="8" t="s">
        <v>386</v>
      </c>
      <c r="H85" s="8">
        <v>16</v>
      </c>
      <c r="I85" s="7" t="s">
        <v>121</v>
      </c>
      <c r="J85" s="8">
        <v>145</v>
      </c>
      <c r="K85" s="8">
        <v>131</v>
      </c>
      <c r="L85" s="8">
        <v>17</v>
      </c>
      <c r="M85" s="8">
        <v>14</v>
      </c>
      <c r="N85" s="8">
        <v>1</v>
      </c>
      <c r="O85" s="8">
        <v>1</v>
      </c>
      <c r="P85" s="8">
        <v>395.85</v>
      </c>
      <c r="Q85" s="8">
        <v>15</v>
      </c>
      <c r="R85" s="8" t="s">
        <v>83</v>
      </c>
      <c r="S85" s="8">
        <v>9</v>
      </c>
      <c r="T85" s="8" t="s">
        <v>84</v>
      </c>
      <c r="U85" s="7" t="s">
        <v>266</v>
      </c>
    </row>
    <row r="86" spans="1:21" ht="15" customHeight="1" x14ac:dyDescent="0.3">
      <c r="A86" s="7" t="s">
        <v>387</v>
      </c>
      <c r="B86" s="7" t="s">
        <v>68</v>
      </c>
      <c r="C86" s="7" t="s">
        <v>40</v>
      </c>
      <c r="D86" s="7" t="s">
        <v>170</v>
      </c>
      <c r="E86" s="7" t="s">
        <v>155</v>
      </c>
      <c r="F86" s="8" t="s">
        <v>388</v>
      </c>
      <c r="G86" s="8" t="s">
        <v>389</v>
      </c>
      <c r="H86" s="8">
        <v>60</v>
      </c>
      <c r="I86" s="7" t="s">
        <v>107</v>
      </c>
      <c r="J86" s="8">
        <v>114</v>
      </c>
      <c r="K86" s="8">
        <v>104</v>
      </c>
      <c r="L86" s="8">
        <v>3</v>
      </c>
      <c r="M86" s="8">
        <v>0</v>
      </c>
      <c r="N86" s="8">
        <v>4</v>
      </c>
      <c r="O86" s="8">
        <v>1</v>
      </c>
      <c r="P86" s="8">
        <v>885.78</v>
      </c>
      <c r="Q86" s="8">
        <v>60</v>
      </c>
      <c r="R86" s="8" t="s">
        <v>74</v>
      </c>
      <c r="S86" s="8">
        <v>3</v>
      </c>
      <c r="T86" s="8" t="s">
        <v>75</v>
      </c>
      <c r="U86" s="7" t="s">
        <v>159</v>
      </c>
    </row>
    <row r="87" spans="1:21" ht="15" customHeight="1" x14ac:dyDescent="0.3">
      <c r="A87" s="7" t="s">
        <v>390</v>
      </c>
      <c r="B87" s="7" t="s">
        <v>68</v>
      </c>
      <c r="C87" s="7" t="s">
        <v>28</v>
      </c>
      <c r="D87" s="7" t="s">
        <v>232</v>
      </c>
      <c r="E87" s="7" t="s">
        <v>161</v>
      </c>
      <c r="F87" s="8" t="s">
        <v>391</v>
      </c>
      <c r="G87" s="8" t="s">
        <v>392</v>
      </c>
      <c r="H87" s="8">
        <v>5</v>
      </c>
      <c r="I87" s="7" t="s">
        <v>107</v>
      </c>
      <c r="J87" s="8">
        <v>136</v>
      </c>
      <c r="K87" s="8">
        <v>130</v>
      </c>
      <c r="L87" s="8">
        <v>20</v>
      </c>
      <c r="M87" s="8">
        <v>11</v>
      </c>
      <c r="N87" s="8">
        <v>27</v>
      </c>
      <c r="O87" s="8">
        <v>1</v>
      </c>
      <c r="P87" s="8">
        <v>818.72</v>
      </c>
      <c r="Q87" s="8">
        <v>30</v>
      </c>
      <c r="R87" s="8" t="s">
        <v>74</v>
      </c>
      <c r="S87" s="8">
        <v>9</v>
      </c>
      <c r="T87" s="8" t="s">
        <v>75</v>
      </c>
      <c r="U87" s="7" t="s">
        <v>165</v>
      </c>
    </row>
    <row r="88" spans="1:21" ht="15" customHeight="1" x14ac:dyDescent="0.3">
      <c r="A88" s="7" t="s">
        <v>393</v>
      </c>
      <c r="B88" s="7" t="s">
        <v>68</v>
      </c>
      <c r="C88" s="7" t="s">
        <v>40</v>
      </c>
      <c r="D88" s="7" t="s">
        <v>170</v>
      </c>
      <c r="E88" s="7" t="s">
        <v>224</v>
      </c>
      <c r="F88" s="8" t="s">
        <v>394</v>
      </c>
      <c r="G88" s="8" t="s">
        <v>395</v>
      </c>
      <c r="H88" s="8">
        <v>2</v>
      </c>
      <c r="I88" s="7" t="s">
        <v>145</v>
      </c>
      <c r="J88" s="8">
        <v>157</v>
      </c>
      <c r="K88" s="8">
        <v>140</v>
      </c>
      <c r="L88" s="8">
        <v>7</v>
      </c>
      <c r="M88" s="8">
        <v>7</v>
      </c>
      <c r="N88" s="8">
        <v>10</v>
      </c>
      <c r="O88" s="8">
        <v>7</v>
      </c>
      <c r="P88" s="8">
        <v>778.72</v>
      </c>
      <c r="Q88" s="8">
        <v>25</v>
      </c>
      <c r="R88" s="8" t="s">
        <v>74</v>
      </c>
      <c r="S88" s="8">
        <v>14</v>
      </c>
      <c r="T88" s="8" t="s">
        <v>75</v>
      </c>
      <c r="U88" s="7" t="s">
        <v>227</v>
      </c>
    </row>
    <row r="89" spans="1:21" ht="15" customHeight="1" x14ac:dyDescent="0.3">
      <c r="A89" s="7" t="s">
        <v>396</v>
      </c>
      <c r="B89" s="7" t="s">
        <v>68</v>
      </c>
      <c r="C89" s="7" t="s">
        <v>33</v>
      </c>
      <c r="D89" s="7" t="s">
        <v>69</v>
      </c>
      <c r="E89" s="7" t="s">
        <v>94</v>
      </c>
      <c r="F89" s="8" t="s">
        <v>397</v>
      </c>
      <c r="G89" s="8" t="s">
        <v>398</v>
      </c>
      <c r="H89" s="8">
        <v>17</v>
      </c>
      <c r="I89" s="7" t="s">
        <v>91</v>
      </c>
      <c r="J89" s="8">
        <v>154</v>
      </c>
      <c r="K89" s="8">
        <v>151</v>
      </c>
      <c r="L89" s="8">
        <v>21</v>
      </c>
      <c r="M89" s="8">
        <v>16</v>
      </c>
      <c r="N89" s="8">
        <v>1</v>
      </c>
      <c r="O89" s="8">
        <v>0</v>
      </c>
      <c r="P89" s="8">
        <v>890.12</v>
      </c>
      <c r="Q89" s="8">
        <v>30</v>
      </c>
      <c r="R89" s="8" t="s">
        <v>74</v>
      </c>
      <c r="S89" s="8">
        <v>12</v>
      </c>
      <c r="T89" s="8" t="s">
        <v>75</v>
      </c>
      <c r="U89" s="7" t="s">
        <v>98</v>
      </c>
    </row>
    <row r="90" spans="1:21" ht="15" customHeight="1" x14ac:dyDescent="0.3">
      <c r="A90" s="7" t="s">
        <v>399</v>
      </c>
      <c r="B90" s="7" t="s">
        <v>68</v>
      </c>
      <c r="C90" s="7" t="s">
        <v>33</v>
      </c>
      <c r="D90" s="7" t="s">
        <v>69</v>
      </c>
      <c r="E90" s="7" t="s">
        <v>70</v>
      </c>
      <c r="F90" s="8" t="s">
        <v>400</v>
      </c>
      <c r="G90" s="8" t="s">
        <v>401</v>
      </c>
      <c r="H90" s="8">
        <v>11</v>
      </c>
      <c r="I90" s="7" t="s">
        <v>115</v>
      </c>
      <c r="J90" s="8">
        <v>156</v>
      </c>
      <c r="K90" s="8">
        <v>143</v>
      </c>
      <c r="L90" s="8">
        <v>20</v>
      </c>
      <c r="M90" s="8">
        <v>16</v>
      </c>
      <c r="N90" s="8">
        <v>1</v>
      </c>
      <c r="O90" s="8">
        <v>5</v>
      </c>
      <c r="P90" s="8">
        <v>819</v>
      </c>
      <c r="Q90" s="8">
        <v>25</v>
      </c>
      <c r="R90" s="8" t="s">
        <v>74</v>
      </c>
      <c r="S90" s="8">
        <v>8</v>
      </c>
      <c r="T90" s="8" t="s">
        <v>75</v>
      </c>
      <c r="U90" s="7" t="s">
        <v>76</v>
      </c>
    </row>
    <row r="91" spans="1:21" ht="15" customHeight="1" x14ac:dyDescent="0.3">
      <c r="A91" s="7" t="s">
        <v>402</v>
      </c>
      <c r="B91" s="7" t="s">
        <v>68</v>
      </c>
      <c r="C91" s="7" t="s">
        <v>140</v>
      </c>
      <c r="D91" s="7" t="s">
        <v>245</v>
      </c>
      <c r="E91" s="7" t="s">
        <v>246</v>
      </c>
      <c r="F91" s="8" t="s">
        <v>403</v>
      </c>
      <c r="G91" s="8" t="s">
        <v>404</v>
      </c>
      <c r="H91" s="8">
        <v>7</v>
      </c>
      <c r="I91" s="7" t="s">
        <v>121</v>
      </c>
      <c r="J91" s="8">
        <v>145</v>
      </c>
      <c r="K91" s="8">
        <v>132</v>
      </c>
      <c r="L91" s="8">
        <v>16</v>
      </c>
      <c r="M91" s="8">
        <v>3</v>
      </c>
      <c r="N91" s="8">
        <v>10</v>
      </c>
      <c r="O91" s="8">
        <v>1</v>
      </c>
      <c r="P91" s="8">
        <v>580</v>
      </c>
      <c r="Q91" s="8">
        <v>20</v>
      </c>
      <c r="R91" s="8" t="s">
        <v>74</v>
      </c>
      <c r="S91" s="8">
        <v>9</v>
      </c>
      <c r="T91" s="8" t="s">
        <v>75</v>
      </c>
      <c r="U91" s="7" t="s">
        <v>249</v>
      </c>
    </row>
    <row r="92" spans="1:21" ht="15" customHeight="1" x14ac:dyDescent="0.3">
      <c r="A92" s="7" t="s">
        <v>405</v>
      </c>
      <c r="B92" s="7" t="s">
        <v>68</v>
      </c>
      <c r="C92" s="7" t="s">
        <v>140</v>
      </c>
      <c r="D92" s="7" t="s">
        <v>141</v>
      </c>
      <c r="E92" s="7" t="s">
        <v>277</v>
      </c>
      <c r="F92" s="8" t="s">
        <v>406</v>
      </c>
      <c r="G92" s="8" t="s">
        <v>407</v>
      </c>
      <c r="H92" s="8">
        <v>5</v>
      </c>
      <c r="I92" s="7" t="s">
        <v>202</v>
      </c>
      <c r="J92" s="8">
        <v>33</v>
      </c>
      <c r="K92" s="8">
        <v>29</v>
      </c>
      <c r="L92" s="8">
        <v>2</v>
      </c>
      <c r="M92" s="8">
        <v>1</v>
      </c>
      <c r="N92" s="8">
        <v>2</v>
      </c>
      <c r="O92" s="8">
        <v>2</v>
      </c>
      <c r="P92" s="8">
        <v>111.54</v>
      </c>
      <c r="Q92" s="8">
        <v>15</v>
      </c>
      <c r="R92" s="8" t="s">
        <v>74</v>
      </c>
      <c r="S92" s="8">
        <v>1</v>
      </c>
      <c r="T92" s="8" t="s">
        <v>75</v>
      </c>
      <c r="U92" s="7" t="s">
        <v>280</v>
      </c>
    </row>
    <row r="93" spans="1:21" ht="15" customHeight="1" x14ac:dyDescent="0.3">
      <c r="A93" s="7" t="s">
        <v>408</v>
      </c>
      <c r="B93" s="7" t="s">
        <v>68</v>
      </c>
      <c r="C93" s="7" t="s">
        <v>28</v>
      </c>
      <c r="D93" s="7" t="s">
        <v>117</v>
      </c>
      <c r="E93" s="7" t="s">
        <v>353</v>
      </c>
      <c r="F93" s="8" t="s">
        <v>409</v>
      </c>
      <c r="G93" s="8" t="s">
        <v>410</v>
      </c>
      <c r="H93" s="8">
        <v>16</v>
      </c>
      <c r="I93" s="7" t="s">
        <v>145</v>
      </c>
      <c r="J93" s="8">
        <v>195</v>
      </c>
      <c r="K93" s="8">
        <v>184</v>
      </c>
      <c r="L93" s="8">
        <v>27</v>
      </c>
      <c r="M93" s="8">
        <v>21</v>
      </c>
      <c r="N93" s="8">
        <v>2</v>
      </c>
      <c r="O93" s="8">
        <v>0</v>
      </c>
      <c r="P93" s="8">
        <v>1031.55</v>
      </c>
      <c r="Q93" s="8">
        <v>25</v>
      </c>
      <c r="R93" s="8" t="s">
        <v>74</v>
      </c>
      <c r="S93" s="8">
        <v>14</v>
      </c>
      <c r="T93" s="8" t="s">
        <v>75</v>
      </c>
      <c r="U93" s="7" t="s">
        <v>356</v>
      </c>
    </row>
    <row r="94" spans="1:21" ht="15" customHeight="1" x14ac:dyDescent="0.3">
      <c r="A94" s="7" t="s">
        <v>411</v>
      </c>
      <c r="B94" s="7" t="s">
        <v>68</v>
      </c>
      <c r="C94" s="7" t="s">
        <v>140</v>
      </c>
      <c r="D94" s="7" t="s">
        <v>141</v>
      </c>
      <c r="E94" s="7" t="s">
        <v>142</v>
      </c>
      <c r="F94" s="8" t="s">
        <v>412</v>
      </c>
      <c r="G94" s="8" t="s">
        <v>413</v>
      </c>
      <c r="H94" s="8">
        <v>20</v>
      </c>
      <c r="I94" s="7" t="s">
        <v>145</v>
      </c>
      <c r="J94" s="8">
        <v>126</v>
      </c>
      <c r="K94" s="8">
        <v>122</v>
      </c>
      <c r="L94" s="8">
        <v>1</v>
      </c>
      <c r="M94" s="8">
        <v>3</v>
      </c>
      <c r="N94" s="8">
        <v>7</v>
      </c>
      <c r="O94" s="8">
        <v>27</v>
      </c>
      <c r="P94" s="8">
        <v>535.5</v>
      </c>
      <c r="Q94" s="8">
        <v>20</v>
      </c>
      <c r="R94" s="8" t="s">
        <v>83</v>
      </c>
      <c r="S94" s="8">
        <v>6</v>
      </c>
      <c r="T94" s="8" t="s">
        <v>75</v>
      </c>
      <c r="U94" s="7" t="s">
        <v>146</v>
      </c>
    </row>
    <row r="95" spans="1:21" ht="15" customHeight="1" x14ac:dyDescent="0.3">
      <c r="A95" s="7" t="s">
        <v>414</v>
      </c>
      <c r="B95" s="7" t="s">
        <v>68</v>
      </c>
      <c r="C95" s="7" t="s">
        <v>33</v>
      </c>
      <c r="D95" s="7" t="s">
        <v>87</v>
      </c>
      <c r="E95" s="7" t="s">
        <v>135</v>
      </c>
      <c r="F95" s="8" t="s">
        <v>415</v>
      </c>
      <c r="G95" s="8" t="s">
        <v>416</v>
      </c>
      <c r="H95" s="8">
        <v>5</v>
      </c>
      <c r="I95" s="7" t="s">
        <v>202</v>
      </c>
      <c r="J95" s="8">
        <v>129</v>
      </c>
      <c r="K95" s="8">
        <v>119</v>
      </c>
      <c r="L95" s="8">
        <v>19</v>
      </c>
      <c r="M95" s="8">
        <v>9</v>
      </c>
      <c r="N95" s="8">
        <v>10</v>
      </c>
      <c r="O95" s="8">
        <v>0</v>
      </c>
      <c r="P95" s="8">
        <v>656.61</v>
      </c>
      <c r="Q95" s="8">
        <v>15</v>
      </c>
      <c r="R95" s="8" t="s">
        <v>74</v>
      </c>
      <c r="S95" s="8">
        <v>5</v>
      </c>
      <c r="T95" s="8" t="s">
        <v>75</v>
      </c>
      <c r="U95" s="7" t="s">
        <v>138</v>
      </c>
    </row>
    <row r="96" spans="1:21" ht="15" customHeight="1" x14ac:dyDescent="0.3">
      <c r="A96" s="7" t="s">
        <v>417</v>
      </c>
      <c r="B96" s="7" t="s">
        <v>68</v>
      </c>
      <c r="C96" s="7" t="s">
        <v>28</v>
      </c>
      <c r="D96" s="7" t="s">
        <v>117</v>
      </c>
      <c r="E96" s="7" t="s">
        <v>297</v>
      </c>
      <c r="F96" s="8" t="s">
        <v>418</v>
      </c>
      <c r="G96" s="8" t="s">
        <v>419</v>
      </c>
      <c r="H96" s="8">
        <v>27</v>
      </c>
      <c r="I96" s="7" t="s">
        <v>82</v>
      </c>
      <c r="J96" s="8">
        <v>73</v>
      </c>
      <c r="K96" s="8">
        <v>66</v>
      </c>
      <c r="L96" s="8">
        <v>3</v>
      </c>
      <c r="M96" s="8">
        <v>7</v>
      </c>
      <c r="N96" s="8">
        <v>31</v>
      </c>
      <c r="O96" s="8">
        <v>20</v>
      </c>
      <c r="P96" s="8">
        <v>378.87</v>
      </c>
      <c r="Q96" s="8">
        <v>30</v>
      </c>
      <c r="R96" s="8" t="s">
        <v>83</v>
      </c>
      <c r="S96" s="8">
        <v>3</v>
      </c>
      <c r="T96" s="8" t="s">
        <v>75</v>
      </c>
      <c r="U96" s="7" t="s">
        <v>300</v>
      </c>
    </row>
    <row r="97" spans="1:21" ht="15" customHeight="1" x14ac:dyDescent="0.3">
      <c r="A97" s="7" t="s">
        <v>420</v>
      </c>
      <c r="B97" s="7" t="s">
        <v>68</v>
      </c>
      <c r="C97" s="7" t="s">
        <v>28</v>
      </c>
      <c r="D97" s="7" t="s">
        <v>117</v>
      </c>
      <c r="E97" s="7" t="s">
        <v>118</v>
      </c>
      <c r="F97" s="8" t="s">
        <v>421</v>
      </c>
      <c r="G97" s="8" t="s">
        <v>422</v>
      </c>
      <c r="H97" s="8">
        <v>10</v>
      </c>
      <c r="I97" s="7" t="s">
        <v>91</v>
      </c>
      <c r="J97" s="8">
        <v>60</v>
      </c>
      <c r="K97" s="8">
        <v>59</v>
      </c>
      <c r="L97" s="8">
        <v>1</v>
      </c>
      <c r="M97" s="8">
        <v>1</v>
      </c>
      <c r="N97" s="8">
        <v>59</v>
      </c>
      <c r="O97" s="8">
        <v>17</v>
      </c>
      <c r="P97" s="8">
        <v>288.60000000000002</v>
      </c>
      <c r="Q97" s="8">
        <v>30</v>
      </c>
      <c r="R97" s="8" t="s">
        <v>83</v>
      </c>
      <c r="S97" s="8">
        <v>4</v>
      </c>
      <c r="T97" s="8" t="s">
        <v>122</v>
      </c>
      <c r="U97" s="7" t="s">
        <v>123</v>
      </c>
    </row>
    <row r="98" spans="1:21" ht="15" customHeight="1" x14ac:dyDescent="0.3">
      <c r="A98" s="7" t="s">
        <v>423</v>
      </c>
      <c r="B98" s="7" t="s">
        <v>68</v>
      </c>
      <c r="C98" s="7" t="s">
        <v>28</v>
      </c>
      <c r="D98" s="7" t="s">
        <v>232</v>
      </c>
      <c r="E98" s="7" t="s">
        <v>180</v>
      </c>
      <c r="F98" s="8" t="s">
        <v>424</v>
      </c>
      <c r="G98" s="8" t="s">
        <v>425</v>
      </c>
      <c r="H98" s="8">
        <v>61</v>
      </c>
      <c r="I98" s="7" t="s">
        <v>115</v>
      </c>
      <c r="J98" s="8">
        <v>200</v>
      </c>
      <c r="K98" s="8">
        <v>192</v>
      </c>
      <c r="L98" s="8">
        <v>10</v>
      </c>
      <c r="M98" s="8">
        <v>4</v>
      </c>
      <c r="N98" s="8">
        <v>0</v>
      </c>
      <c r="O98" s="8">
        <v>41</v>
      </c>
      <c r="P98" s="8">
        <v>868</v>
      </c>
      <c r="Q98" s="8">
        <v>20</v>
      </c>
      <c r="R98" s="8" t="s">
        <v>83</v>
      </c>
      <c r="S98" s="8">
        <v>14</v>
      </c>
      <c r="T98" s="8" t="s">
        <v>122</v>
      </c>
      <c r="U98" s="7" t="s">
        <v>183</v>
      </c>
    </row>
    <row r="99" spans="1:21" ht="15" customHeight="1" x14ac:dyDescent="0.3">
      <c r="A99" s="7" t="s">
        <v>426</v>
      </c>
      <c r="B99" s="7" t="s">
        <v>68</v>
      </c>
      <c r="C99" s="7" t="s">
        <v>28</v>
      </c>
      <c r="D99" s="7" t="s">
        <v>117</v>
      </c>
      <c r="E99" s="7" t="s">
        <v>180</v>
      </c>
      <c r="F99" s="8" t="s">
        <v>427</v>
      </c>
      <c r="G99" s="8" t="s">
        <v>428</v>
      </c>
      <c r="H99" s="8">
        <v>26</v>
      </c>
      <c r="I99" s="7" t="s">
        <v>127</v>
      </c>
      <c r="J99" s="8">
        <v>180</v>
      </c>
      <c r="K99" s="8">
        <v>174</v>
      </c>
      <c r="L99" s="8">
        <v>6</v>
      </c>
      <c r="M99" s="8">
        <v>3</v>
      </c>
      <c r="N99" s="8">
        <v>4</v>
      </c>
      <c r="O99" s="8">
        <v>17</v>
      </c>
      <c r="P99" s="8">
        <v>786.6</v>
      </c>
      <c r="Q99" s="8">
        <v>20</v>
      </c>
      <c r="R99" s="8" t="s">
        <v>83</v>
      </c>
      <c r="S99" s="8">
        <v>16</v>
      </c>
      <c r="T99" s="8" t="s">
        <v>75</v>
      </c>
      <c r="U99" s="7" t="s">
        <v>183</v>
      </c>
    </row>
    <row r="100" spans="1:21" ht="15" customHeight="1" x14ac:dyDescent="0.3">
      <c r="A100" s="7" t="s">
        <v>429</v>
      </c>
      <c r="B100" s="7" t="s">
        <v>68</v>
      </c>
      <c r="C100" s="7" t="s">
        <v>33</v>
      </c>
      <c r="D100" s="7" t="s">
        <v>87</v>
      </c>
      <c r="E100" s="7" t="s">
        <v>88</v>
      </c>
      <c r="F100" s="8" t="s">
        <v>430</v>
      </c>
      <c r="G100" s="8" t="s">
        <v>431</v>
      </c>
      <c r="H100" s="8">
        <v>9</v>
      </c>
      <c r="I100" s="7" t="s">
        <v>145</v>
      </c>
      <c r="J100" s="8">
        <v>88</v>
      </c>
      <c r="K100" s="8">
        <v>86</v>
      </c>
      <c r="L100" s="8">
        <v>1</v>
      </c>
      <c r="M100" s="8">
        <v>13</v>
      </c>
      <c r="N100" s="8">
        <v>25</v>
      </c>
      <c r="O100" s="8">
        <v>5</v>
      </c>
      <c r="P100" s="8">
        <v>487.52</v>
      </c>
      <c r="Q100" s="8">
        <v>20</v>
      </c>
      <c r="R100" s="8" t="s">
        <v>83</v>
      </c>
      <c r="S100" s="8">
        <v>1</v>
      </c>
      <c r="T100" s="8" t="s">
        <v>75</v>
      </c>
      <c r="U100" s="7" t="s">
        <v>92</v>
      </c>
    </row>
    <row r="101" spans="1:21" ht="15" customHeight="1" x14ac:dyDescent="0.3">
      <c r="A101" s="7" t="s">
        <v>432</v>
      </c>
      <c r="B101" s="7" t="s">
        <v>68</v>
      </c>
      <c r="C101" s="7" t="s">
        <v>33</v>
      </c>
      <c r="D101" s="7" t="s">
        <v>87</v>
      </c>
      <c r="E101" s="7" t="s">
        <v>94</v>
      </c>
      <c r="F101" s="8" t="s">
        <v>433</v>
      </c>
      <c r="G101" s="8" t="s">
        <v>434</v>
      </c>
      <c r="H101" s="8">
        <v>23</v>
      </c>
      <c r="I101" s="7" t="s">
        <v>82</v>
      </c>
      <c r="J101" s="8">
        <v>51</v>
      </c>
      <c r="K101" s="8">
        <v>44</v>
      </c>
      <c r="L101" s="8">
        <v>5</v>
      </c>
      <c r="M101" s="8">
        <v>7</v>
      </c>
      <c r="N101" s="8">
        <v>3</v>
      </c>
      <c r="O101" s="8">
        <v>0</v>
      </c>
      <c r="P101" s="8">
        <v>314.67</v>
      </c>
      <c r="Q101" s="8">
        <v>30</v>
      </c>
      <c r="R101" s="8" t="s">
        <v>74</v>
      </c>
      <c r="S101" s="8">
        <v>2</v>
      </c>
      <c r="T101" s="8" t="s">
        <v>75</v>
      </c>
      <c r="U101" s="7" t="s">
        <v>98</v>
      </c>
    </row>
    <row r="102" spans="1:21" ht="15" customHeight="1" x14ac:dyDescent="0.3">
      <c r="A102" s="7" t="s">
        <v>435</v>
      </c>
      <c r="B102" s="7" t="s">
        <v>68</v>
      </c>
      <c r="C102" s="7" t="s">
        <v>40</v>
      </c>
      <c r="D102" s="7" t="s">
        <v>154</v>
      </c>
      <c r="E102" s="7" t="s">
        <v>155</v>
      </c>
      <c r="F102" s="8" t="s">
        <v>436</v>
      </c>
      <c r="G102" s="8" t="s">
        <v>437</v>
      </c>
      <c r="H102" s="8">
        <v>65</v>
      </c>
      <c r="I102" s="7" t="s">
        <v>115</v>
      </c>
      <c r="J102" s="8">
        <v>173</v>
      </c>
      <c r="K102" s="8">
        <v>156</v>
      </c>
      <c r="L102" s="8">
        <v>7</v>
      </c>
      <c r="M102" s="8">
        <v>3</v>
      </c>
      <c r="N102" s="8">
        <v>10</v>
      </c>
      <c r="O102" s="8">
        <v>1</v>
      </c>
      <c r="P102" s="8">
        <v>1453.2</v>
      </c>
      <c r="Q102" s="8">
        <v>60</v>
      </c>
      <c r="R102" s="8" t="s">
        <v>83</v>
      </c>
      <c r="S102" s="8">
        <v>7</v>
      </c>
      <c r="T102" s="8" t="s">
        <v>122</v>
      </c>
      <c r="U102" s="7" t="s">
        <v>159</v>
      </c>
    </row>
    <row r="103" spans="1:21" ht="15" customHeight="1" x14ac:dyDescent="0.3">
      <c r="A103" s="7" t="s">
        <v>438</v>
      </c>
      <c r="B103" s="7" t="s">
        <v>68</v>
      </c>
      <c r="C103" s="7" t="s">
        <v>28</v>
      </c>
      <c r="D103" s="7" t="s">
        <v>232</v>
      </c>
      <c r="E103" s="7" t="s">
        <v>263</v>
      </c>
      <c r="F103" s="8" t="s">
        <v>439</v>
      </c>
      <c r="G103" s="8" t="s">
        <v>440</v>
      </c>
      <c r="H103" s="8">
        <v>12</v>
      </c>
      <c r="I103" s="7" t="s">
        <v>82</v>
      </c>
      <c r="J103" s="8">
        <v>192</v>
      </c>
      <c r="K103" s="8">
        <v>177</v>
      </c>
      <c r="L103" s="8">
        <v>22</v>
      </c>
      <c r="M103" s="8">
        <v>25</v>
      </c>
      <c r="N103" s="8">
        <v>1</v>
      </c>
      <c r="O103" s="8">
        <v>2</v>
      </c>
      <c r="P103" s="8">
        <v>702.72</v>
      </c>
      <c r="Q103" s="8">
        <v>15</v>
      </c>
      <c r="R103" s="8" t="s">
        <v>74</v>
      </c>
      <c r="S103" s="8">
        <v>12</v>
      </c>
      <c r="T103" s="8" t="s">
        <v>75</v>
      </c>
      <c r="U103" s="7" t="s">
        <v>266</v>
      </c>
    </row>
    <row r="104" spans="1:21" ht="15" customHeight="1" x14ac:dyDescent="0.3">
      <c r="A104" s="7" t="s">
        <v>441</v>
      </c>
      <c r="B104" s="7" t="s">
        <v>68</v>
      </c>
      <c r="C104" s="7" t="s">
        <v>37</v>
      </c>
      <c r="D104" s="7" t="s">
        <v>78</v>
      </c>
      <c r="E104" s="7" t="s">
        <v>130</v>
      </c>
      <c r="F104" s="8" t="s">
        <v>442</v>
      </c>
      <c r="G104" s="8" t="s">
        <v>443</v>
      </c>
      <c r="H104" s="8">
        <v>24</v>
      </c>
      <c r="I104" s="7" t="s">
        <v>127</v>
      </c>
      <c r="J104" s="8">
        <v>64</v>
      </c>
      <c r="K104" s="8">
        <v>56</v>
      </c>
      <c r="L104" s="8">
        <v>8</v>
      </c>
      <c r="M104" s="8">
        <v>7</v>
      </c>
      <c r="N104" s="8">
        <v>2</v>
      </c>
      <c r="O104" s="8">
        <v>17</v>
      </c>
      <c r="P104" s="8">
        <v>512</v>
      </c>
      <c r="Q104" s="8">
        <v>40</v>
      </c>
      <c r="R104" s="8" t="s">
        <v>74</v>
      </c>
      <c r="S104" s="8">
        <v>2</v>
      </c>
      <c r="T104" s="8" t="s">
        <v>75</v>
      </c>
      <c r="U104" s="7" t="s">
        <v>133</v>
      </c>
    </row>
    <row r="105" spans="1:21" ht="15" customHeight="1" x14ac:dyDescent="0.3">
      <c r="A105" s="7" t="s">
        <v>444</v>
      </c>
      <c r="B105" s="7" t="s">
        <v>68</v>
      </c>
      <c r="C105" s="7" t="s">
        <v>28</v>
      </c>
      <c r="D105" s="7" t="s">
        <v>232</v>
      </c>
      <c r="E105" s="7" t="s">
        <v>180</v>
      </c>
      <c r="F105" s="8" t="s">
        <v>445</v>
      </c>
      <c r="G105" s="8" t="s">
        <v>446</v>
      </c>
      <c r="H105" s="8">
        <v>8</v>
      </c>
      <c r="I105" s="7" t="s">
        <v>158</v>
      </c>
      <c r="J105" s="8">
        <v>145</v>
      </c>
      <c r="K105" s="8">
        <v>135</v>
      </c>
      <c r="L105" s="8">
        <v>3</v>
      </c>
      <c r="M105" s="8">
        <v>0</v>
      </c>
      <c r="N105" s="8">
        <v>57</v>
      </c>
      <c r="O105" s="8">
        <v>4</v>
      </c>
      <c r="P105" s="8">
        <v>526.35</v>
      </c>
      <c r="Q105" s="8">
        <v>20</v>
      </c>
      <c r="R105" s="8" t="s">
        <v>83</v>
      </c>
      <c r="S105" s="8">
        <v>5</v>
      </c>
      <c r="T105" s="8" t="s">
        <v>75</v>
      </c>
      <c r="U105" s="7" t="s">
        <v>183</v>
      </c>
    </row>
    <row r="106" spans="1:21" ht="15" customHeight="1" x14ac:dyDescent="0.3">
      <c r="A106" s="7" t="s">
        <v>447</v>
      </c>
      <c r="B106" s="7" t="s">
        <v>68</v>
      </c>
      <c r="C106" s="7" t="s">
        <v>28</v>
      </c>
      <c r="D106" s="7" t="s">
        <v>232</v>
      </c>
      <c r="E106" s="7" t="s">
        <v>263</v>
      </c>
      <c r="F106" s="8" t="s">
        <v>448</v>
      </c>
      <c r="G106" s="8" t="s">
        <v>449</v>
      </c>
      <c r="H106" s="8">
        <v>10</v>
      </c>
      <c r="I106" s="7" t="s">
        <v>97</v>
      </c>
      <c r="J106" s="8">
        <v>125</v>
      </c>
      <c r="K106" s="8">
        <v>112</v>
      </c>
      <c r="L106" s="8">
        <v>14</v>
      </c>
      <c r="M106" s="8">
        <v>13</v>
      </c>
      <c r="N106" s="8">
        <v>4</v>
      </c>
      <c r="O106" s="8">
        <v>1</v>
      </c>
      <c r="P106" s="8">
        <v>357.5</v>
      </c>
      <c r="Q106" s="8">
        <v>15</v>
      </c>
      <c r="R106" s="8" t="s">
        <v>74</v>
      </c>
      <c r="S106" s="8">
        <v>10</v>
      </c>
      <c r="T106" s="8" t="s">
        <v>75</v>
      </c>
      <c r="U106" s="7" t="s">
        <v>266</v>
      </c>
    </row>
    <row r="107" spans="1:21" ht="15" customHeight="1" x14ac:dyDescent="0.3">
      <c r="A107" s="7" t="s">
        <v>450</v>
      </c>
      <c r="B107" s="7" t="s">
        <v>68</v>
      </c>
      <c r="C107" s="7" t="s">
        <v>40</v>
      </c>
      <c r="D107" s="7" t="s">
        <v>154</v>
      </c>
      <c r="E107" s="7" t="s">
        <v>155</v>
      </c>
      <c r="F107" s="8" t="s">
        <v>451</v>
      </c>
      <c r="G107" s="8" t="s">
        <v>452</v>
      </c>
      <c r="H107" s="8">
        <v>82</v>
      </c>
      <c r="I107" s="7" t="s">
        <v>121</v>
      </c>
      <c r="J107" s="8">
        <v>102</v>
      </c>
      <c r="K107" s="8">
        <v>94</v>
      </c>
      <c r="L107" s="8">
        <v>2</v>
      </c>
      <c r="M107" s="8">
        <v>2</v>
      </c>
      <c r="N107" s="8">
        <v>73</v>
      </c>
      <c r="O107" s="8">
        <v>1</v>
      </c>
      <c r="P107" s="8">
        <v>770.1</v>
      </c>
      <c r="Q107" s="8">
        <v>60</v>
      </c>
      <c r="R107" s="8" t="s">
        <v>83</v>
      </c>
      <c r="S107" s="8">
        <v>4</v>
      </c>
      <c r="T107" s="8" t="s">
        <v>122</v>
      </c>
      <c r="U107" s="7" t="s">
        <v>159</v>
      </c>
    </row>
    <row r="108" spans="1:21" ht="15" customHeight="1" x14ac:dyDescent="0.3">
      <c r="A108" s="7" t="s">
        <v>453</v>
      </c>
      <c r="B108" s="7" t="s">
        <v>68</v>
      </c>
      <c r="C108" s="7" t="s">
        <v>37</v>
      </c>
      <c r="D108" s="7" t="s">
        <v>78</v>
      </c>
      <c r="E108" s="7" t="s">
        <v>100</v>
      </c>
      <c r="F108" s="8" t="s">
        <v>454</v>
      </c>
      <c r="G108" s="8" t="s">
        <v>455</v>
      </c>
      <c r="H108" s="8">
        <v>11</v>
      </c>
      <c r="I108" s="7" t="s">
        <v>127</v>
      </c>
      <c r="J108" s="8">
        <v>68</v>
      </c>
      <c r="K108" s="8">
        <v>60</v>
      </c>
      <c r="L108" s="8">
        <v>1</v>
      </c>
      <c r="M108" s="8">
        <v>2</v>
      </c>
      <c r="N108" s="8">
        <v>0</v>
      </c>
      <c r="O108" s="8">
        <v>0</v>
      </c>
      <c r="P108" s="8">
        <v>116.28</v>
      </c>
      <c r="Q108" s="8">
        <v>15</v>
      </c>
      <c r="R108" s="8" t="s">
        <v>74</v>
      </c>
      <c r="S108" s="8">
        <v>2</v>
      </c>
      <c r="T108" s="8" t="s">
        <v>75</v>
      </c>
      <c r="U108" s="7" t="s">
        <v>103</v>
      </c>
    </row>
    <row r="109" spans="1:21" ht="15" customHeight="1" x14ac:dyDescent="0.3">
      <c r="A109" s="7" t="s">
        <v>456</v>
      </c>
      <c r="B109" s="7" t="s">
        <v>68</v>
      </c>
      <c r="C109" s="7" t="s">
        <v>28</v>
      </c>
      <c r="D109" s="7" t="s">
        <v>232</v>
      </c>
      <c r="E109" s="7" t="s">
        <v>297</v>
      </c>
      <c r="F109" s="8" t="s">
        <v>457</v>
      </c>
      <c r="G109" s="8" t="s">
        <v>458</v>
      </c>
      <c r="H109" s="8">
        <v>32</v>
      </c>
      <c r="I109" s="7" t="s">
        <v>127</v>
      </c>
      <c r="J109" s="8">
        <v>88</v>
      </c>
      <c r="K109" s="8">
        <v>80</v>
      </c>
      <c r="L109" s="8">
        <v>1</v>
      </c>
      <c r="M109" s="8">
        <v>5</v>
      </c>
      <c r="N109" s="8">
        <v>4</v>
      </c>
      <c r="O109" s="8">
        <v>21</v>
      </c>
      <c r="P109" s="8">
        <v>522.72</v>
      </c>
      <c r="Q109" s="8">
        <v>30</v>
      </c>
      <c r="R109" s="8" t="s">
        <v>83</v>
      </c>
      <c r="S109" s="8">
        <v>8</v>
      </c>
      <c r="T109" s="8" t="s">
        <v>75</v>
      </c>
      <c r="U109" s="7" t="s">
        <v>300</v>
      </c>
    </row>
    <row r="110" spans="1:21" ht="15" customHeight="1" x14ac:dyDescent="0.3">
      <c r="A110" s="7" t="s">
        <v>459</v>
      </c>
      <c r="B110" s="7" t="s">
        <v>68</v>
      </c>
      <c r="C110" s="7" t="s">
        <v>28</v>
      </c>
      <c r="D110" s="7" t="s">
        <v>232</v>
      </c>
      <c r="E110" s="7" t="s">
        <v>180</v>
      </c>
      <c r="F110" s="8" t="s">
        <v>460</v>
      </c>
      <c r="G110" s="8" t="s">
        <v>461</v>
      </c>
      <c r="H110" s="8">
        <v>19</v>
      </c>
      <c r="I110" s="7" t="s">
        <v>145</v>
      </c>
      <c r="J110" s="8">
        <v>81</v>
      </c>
      <c r="K110" s="8">
        <v>71</v>
      </c>
      <c r="L110" s="8">
        <v>1</v>
      </c>
      <c r="M110" s="8">
        <v>3</v>
      </c>
      <c r="N110" s="8">
        <v>27</v>
      </c>
      <c r="O110" s="8">
        <v>4</v>
      </c>
      <c r="P110" s="8">
        <v>216.27</v>
      </c>
      <c r="Q110" s="8">
        <v>20</v>
      </c>
      <c r="R110" s="8" t="s">
        <v>83</v>
      </c>
      <c r="S110" s="8">
        <v>3</v>
      </c>
      <c r="T110" s="8" t="s">
        <v>75</v>
      </c>
      <c r="U110" s="7" t="s">
        <v>183</v>
      </c>
    </row>
    <row r="111" spans="1:21" ht="15" customHeight="1" x14ac:dyDescent="0.3">
      <c r="A111" s="7" t="s">
        <v>462</v>
      </c>
      <c r="B111" s="7" t="s">
        <v>68</v>
      </c>
      <c r="C111" s="7" t="s">
        <v>140</v>
      </c>
      <c r="D111" s="7" t="s">
        <v>141</v>
      </c>
      <c r="E111" s="7" t="s">
        <v>277</v>
      </c>
      <c r="F111" s="8" t="s">
        <v>463</v>
      </c>
      <c r="G111" s="8" t="s">
        <v>464</v>
      </c>
      <c r="H111" s="8">
        <v>8</v>
      </c>
      <c r="I111" s="7" t="s">
        <v>145</v>
      </c>
      <c r="J111" s="8">
        <v>185</v>
      </c>
      <c r="K111" s="8">
        <v>182</v>
      </c>
      <c r="L111" s="8">
        <v>6</v>
      </c>
      <c r="M111" s="8">
        <v>3</v>
      </c>
      <c r="N111" s="8">
        <v>0</v>
      </c>
      <c r="O111" s="8">
        <v>0</v>
      </c>
      <c r="P111" s="8">
        <v>579.04999999999995</v>
      </c>
      <c r="Q111" s="8">
        <v>15</v>
      </c>
      <c r="R111" s="8" t="s">
        <v>74</v>
      </c>
      <c r="S111" s="8">
        <v>2</v>
      </c>
      <c r="T111" s="8" t="s">
        <v>75</v>
      </c>
      <c r="U111" s="7" t="s">
        <v>280</v>
      </c>
    </row>
    <row r="112" spans="1:21" ht="15" customHeight="1" x14ac:dyDescent="0.3">
      <c r="A112" s="7" t="s">
        <v>465</v>
      </c>
      <c r="B112" s="7" t="s">
        <v>68</v>
      </c>
      <c r="C112" s="7" t="s">
        <v>28</v>
      </c>
      <c r="D112" s="7" t="s">
        <v>232</v>
      </c>
      <c r="E112" s="7" t="s">
        <v>353</v>
      </c>
      <c r="F112" s="8" t="s">
        <v>466</v>
      </c>
      <c r="G112" s="8" t="s">
        <v>467</v>
      </c>
      <c r="H112" s="8">
        <v>11</v>
      </c>
      <c r="I112" s="7" t="s">
        <v>121</v>
      </c>
      <c r="J112" s="8">
        <v>140</v>
      </c>
      <c r="K112" s="8">
        <v>132</v>
      </c>
      <c r="L112" s="8">
        <v>18</v>
      </c>
      <c r="M112" s="8">
        <v>13</v>
      </c>
      <c r="N112" s="8">
        <v>5</v>
      </c>
      <c r="O112" s="8">
        <v>0</v>
      </c>
      <c r="P112" s="8">
        <v>611.79999999999995</v>
      </c>
      <c r="Q112" s="8">
        <v>25</v>
      </c>
      <c r="R112" s="8" t="s">
        <v>74</v>
      </c>
      <c r="S112" s="8">
        <v>7</v>
      </c>
      <c r="T112" s="8" t="s">
        <v>75</v>
      </c>
      <c r="U112" s="7" t="s">
        <v>356</v>
      </c>
    </row>
    <row r="113" spans="1:21" ht="15" customHeight="1" x14ac:dyDescent="0.3">
      <c r="A113" s="7" t="s">
        <v>468</v>
      </c>
      <c r="B113" s="7" t="s">
        <v>68</v>
      </c>
      <c r="C113" s="7" t="s">
        <v>37</v>
      </c>
      <c r="D113" s="7" t="s">
        <v>78</v>
      </c>
      <c r="E113" s="7" t="s">
        <v>79</v>
      </c>
      <c r="F113" s="8" t="s">
        <v>469</v>
      </c>
      <c r="G113" s="8" t="s">
        <v>470</v>
      </c>
      <c r="H113" s="8">
        <v>2</v>
      </c>
      <c r="I113" s="7" t="s">
        <v>107</v>
      </c>
      <c r="J113" s="8">
        <v>54</v>
      </c>
      <c r="K113" s="8">
        <v>50</v>
      </c>
      <c r="L113" s="8">
        <v>0</v>
      </c>
      <c r="M113" s="8">
        <v>8</v>
      </c>
      <c r="N113" s="8">
        <v>74</v>
      </c>
      <c r="O113" s="8">
        <v>4</v>
      </c>
      <c r="P113" s="8">
        <v>285.66000000000003</v>
      </c>
      <c r="Q113" s="8">
        <v>20</v>
      </c>
      <c r="R113" s="8" t="s">
        <v>83</v>
      </c>
      <c r="S113" s="8">
        <v>5</v>
      </c>
      <c r="T113" s="8" t="s">
        <v>75</v>
      </c>
      <c r="U113" s="7" t="s">
        <v>85</v>
      </c>
    </row>
    <row r="114" spans="1:21" ht="15" customHeight="1" x14ac:dyDescent="0.3">
      <c r="A114" s="7" t="s">
        <v>471</v>
      </c>
      <c r="B114" s="7" t="s">
        <v>68</v>
      </c>
      <c r="C114" s="7" t="s">
        <v>28</v>
      </c>
      <c r="D114" s="7" t="s">
        <v>232</v>
      </c>
      <c r="E114" s="7" t="s">
        <v>263</v>
      </c>
      <c r="F114" s="8" t="s">
        <v>472</v>
      </c>
      <c r="G114" s="8" t="s">
        <v>473</v>
      </c>
      <c r="H114" s="8">
        <v>9</v>
      </c>
      <c r="I114" s="7" t="s">
        <v>121</v>
      </c>
      <c r="J114" s="8">
        <v>170</v>
      </c>
      <c r="K114" s="8">
        <v>152</v>
      </c>
      <c r="L114" s="8">
        <v>22</v>
      </c>
      <c r="M114" s="8">
        <v>14</v>
      </c>
      <c r="N114" s="8">
        <v>1</v>
      </c>
      <c r="O114" s="8">
        <v>2</v>
      </c>
      <c r="P114" s="8">
        <v>708.9</v>
      </c>
      <c r="Q114" s="8">
        <v>15</v>
      </c>
      <c r="R114" s="8" t="s">
        <v>74</v>
      </c>
      <c r="S114" s="8">
        <v>17</v>
      </c>
      <c r="T114" s="8" t="s">
        <v>75</v>
      </c>
      <c r="U114" s="7" t="s">
        <v>266</v>
      </c>
    </row>
    <row r="115" spans="1:21" ht="15" customHeight="1" x14ac:dyDescent="0.3">
      <c r="A115" s="7" t="s">
        <v>474</v>
      </c>
      <c r="B115" s="7" t="s">
        <v>68</v>
      </c>
      <c r="C115" s="7" t="s">
        <v>28</v>
      </c>
      <c r="D115" s="7" t="s">
        <v>117</v>
      </c>
      <c r="E115" s="7" t="s">
        <v>353</v>
      </c>
      <c r="F115" s="8" t="s">
        <v>475</v>
      </c>
      <c r="G115" s="8" t="s">
        <v>476</v>
      </c>
      <c r="H115" s="8">
        <v>17</v>
      </c>
      <c r="I115" s="7" t="s">
        <v>202</v>
      </c>
      <c r="J115" s="8">
        <v>159</v>
      </c>
      <c r="K115" s="8">
        <v>157</v>
      </c>
      <c r="L115" s="8">
        <v>17</v>
      </c>
      <c r="M115" s="8">
        <v>8</v>
      </c>
      <c r="N115" s="8">
        <v>4</v>
      </c>
      <c r="O115" s="8">
        <v>0</v>
      </c>
      <c r="P115" s="8">
        <v>594.66</v>
      </c>
      <c r="Q115" s="8">
        <v>25</v>
      </c>
      <c r="R115" s="8" t="s">
        <v>74</v>
      </c>
      <c r="S115" s="8">
        <v>10</v>
      </c>
      <c r="T115" s="8" t="s">
        <v>75</v>
      </c>
      <c r="U115" s="7" t="s">
        <v>356</v>
      </c>
    </row>
    <row r="116" spans="1:21" ht="15" customHeight="1" x14ac:dyDescent="0.3">
      <c r="A116" s="7" t="s">
        <v>477</v>
      </c>
      <c r="B116" s="7" t="s">
        <v>68</v>
      </c>
      <c r="C116" s="7" t="s">
        <v>40</v>
      </c>
      <c r="D116" s="7" t="s">
        <v>170</v>
      </c>
      <c r="E116" s="7" t="s">
        <v>213</v>
      </c>
      <c r="F116" s="8" t="s">
        <v>478</v>
      </c>
      <c r="G116" s="8" t="s">
        <v>479</v>
      </c>
      <c r="H116" s="8">
        <v>11</v>
      </c>
      <c r="I116" s="7" t="s">
        <v>73</v>
      </c>
      <c r="J116" s="8">
        <v>125</v>
      </c>
      <c r="K116" s="8">
        <v>112</v>
      </c>
      <c r="L116" s="8">
        <v>12</v>
      </c>
      <c r="M116" s="8">
        <v>0</v>
      </c>
      <c r="N116" s="8">
        <v>6</v>
      </c>
      <c r="O116" s="8">
        <v>5</v>
      </c>
      <c r="P116" s="8">
        <v>537.5</v>
      </c>
      <c r="Q116" s="8">
        <v>15</v>
      </c>
      <c r="R116" s="8" t="s">
        <v>83</v>
      </c>
      <c r="S116" s="8">
        <v>11</v>
      </c>
      <c r="T116" s="8" t="s">
        <v>122</v>
      </c>
      <c r="U116" s="7" t="s">
        <v>216</v>
      </c>
    </row>
    <row r="117" spans="1:21" ht="15" customHeight="1" x14ac:dyDescent="0.3">
      <c r="A117" s="7" t="s">
        <v>480</v>
      </c>
      <c r="B117" s="7" t="s">
        <v>68</v>
      </c>
      <c r="C117" s="7" t="s">
        <v>28</v>
      </c>
      <c r="D117" s="7" t="s">
        <v>232</v>
      </c>
      <c r="E117" s="7" t="s">
        <v>353</v>
      </c>
      <c r="F117" s="8" t="s">
        <v>481</v>
      </c>
      <c r="G117" s="8" t="s">
        <v>482</v>
      </c>
      <c r="H117" s="8">
        <v>2</v>
      </c>
      <c r="I117" s="7" t="s">
        <v>107</v>
      </c>
      <c r="J117" s="8">
        <v>52</v>
      </c>
      <c r="K117" s="8">
        <v>51</v>
      </c>
      <c r="L117" s="8">
        <v>7</v>
      </c>
      <c r="M117" s="8">
        <v>3</v>
      </c>
      <c r="N117" s="8">
        <v>5</v>
      </c>
      <c r="O117" s="8">
        <v>2</v>
      </c>
      <c r="P117" s="8">
        <v>225.68</v>
      </c>
      <c r="Q117" s="8">
        <v>25</v>
      </c>
      <c r="R117" s="8" t="s">
        <v>74</v>
      </c>
      <c r="S117" s="8">
        <v>2</v>
      </c>
      <c r="T117" s="8" t="s">
        <v>75</v>
      </c>
      <c r="U117" s="7" t="s">
        <v>356</v>
      </c>
    </row>
    <row r="118" spans="1:21" ht="15" customHeight="1" x14ac:dyDescent="0.3">
      <c r="A118" s="7" t="s">
        <v>483</v>
      </c>
      <c r="B118" s="7" t="s">
        <v>68</v>
      </c>
      <c r="C118" s="7" t="s">
        <v>37</v>
      </c>
      <c r="D118" s="7" t="s">
        <v>129</v>
      </c>
      <c r="E118" s="7" t="s">
        <v>130</v>
      </c>
      <c r="F118" s="8" t="s">
        <v>484</v>
      </c>
      <c r="G118" s="8" t="s">
        <v>485</v>
      </c>
      <c r="H118" s="8">
        <v>17</v>
      </c>
      <c r="I118" s="7" t="s">
        <v>145</v>
      </c>
      <c r="J118" s="8">
        <v>136</v>
      </c>
      <c r="K118" s="8">
        <v>123</v>
      </c>
      <c r="L118" s="8">
        <v>11</v>
      </c>
      <c r="M118" s="8">
        <v>14</v>
      </c>
      <c r="N118" s="8">
        <v>4</v>
      </c>
      <c r="O118" s="8">
        <v>4</v>
      </c>
      <c r="P118" s="8">
        <v>990.08</v>
      </c>
      <c r="Q118" s="8">
        <v>40</v>
      </c>
      <c r="R118" s="8" t="s">
        <v>74</v>
      </c>
      <c r="S118" s="8">
        <v>7</v>
      </c>
      <c r="T118" s="8" t="s">
        <v>84</v>
      </c>
      <c r="U118" s="7" t="s">
        <v>133</v>
      </c>
    </row>
    <row r="119" spans="1:21" ht="15" customHeight="1" x14ac:dyDescent="0.3">
      <c r="A119" s="7" t="s">
        <v>486</v>
      </c>
      <c r="B119" s="7" t="s">
        <v>68</v>
      </c>
      <c r="C119" s="7" t="s">
        <v>140</v>
      </c>
      <c r="D119" s="7" t="s">
        <v>141</v>
      </c>
      <c r="E119" s="7" t="s">
        <v>142</v>
      </c>
      <c r="F119" s="8" t="s">
        <v>487</v>
      </c>
      <c r="G119" s="8" t="s">
        <v>488</v>
      </c>
      <c r="H119" s="8">
        <v>30</v>
      </c>
      <c r="I119" s="7" t="s">
        <v>127</v>
      </c>
      <c r="J119" s="8">
        <v>87</v>
      </c>
      <c r="K119" s="8">
        <v>81</v>
      </c>
      <c r="L119" s="8">
        <v>2</v>
      </c>
      <c r="M119" s="8">
        <v>2</v>
      </c>
      <c r="N119" s="8">
        <v>10</v>
      </c>
      <c r="O119" s="8">
        <v>25</v>
      </c>
      <c r="P119" s="8">
        <v>333.21</v>
      </c>
      <c r="Q119" s="8">
        <v>20</v>
      </c>
      <c r="R119" s="8" t="s">
        <v>83</v>
      </c>
      <c r="S119" s="8">
        <v>9</v>
      </c>
      <c r="T119" s="8" t="s">
        <v>122</v>
      </c>
      <c r="U119" s="7" t="s">
        <v>146</v>
      </c>
    </row>
    <row r="120" spans="1:21" ht="15" customHeight="1" x14ac:dyDescent="0.3">
      <c r="A120" s="7" t="s">
        <v>489</v>
      </c>
      <c r="B120" s="7" t="s">
        <v>68</v>
      </c>
      <c r="C120" s="7" t="s">
        <v>37</v>
      </c>
      <c r="D120" s="7" t="s">
        <v>78</v>
      </c>
      <c r="E120" s="7" t="s">
        <v>100</v>
      </c>
      <c r="F120" s="8" t="s">
        <v>490</v>
      </c>
      <c r="G120" s="8" t="s">
        <v>491</v>
      </c>
      <c r="H120" s="8">
        <v>4</v>
      </c>
      <c r="I120" s="7" t="s">
        <v>97</v>
      </c>
      <c r="J120" s="8">
        <v>180</v>
      </c>
      <c r="K120" s="8">
        <v>169</v>
      </c>
      <c r="L120" s="8">
        <v>6</v>
      </c>
      <c r="M120" s="8">
        <v>1</v>
      </c>
      <c r="N120" s="8">
        <v>0</v>
      </c>
      <c r="O120" s="8">
        <v>0</v>
      </c>
      <c r="P120" s="8">
        <v>484.2</v>
      </c>
      <c r="Q120" s="8">
        <v>15</v>
      </c>
      <c r="R120" s="8" t="s">
        <v>74</v>
      </c>
      <c r="S120" s="8">
        <v>2</v>
      </c>
      <c r="T120" s="8" t="s">
        <v>75</v>
      </c>
      <c r="U120" s="7" t="s">
        <v>103</v>
      </c>
    </row>
    <row r="121" spans="1:21" ht="15" customHeight="1" x14ac:dyDescent="0.3">
      <c r="A121" s="7" t="s">
        <v>492</v>
      </c>
      <c r="B121" s="7" t="s">
        <v>68</v>
      </c>
      <c r="C121" s="7" t="s">
        <v>28</v>
      </c>
      <c r="D121" s="7" t="s">
        <v>117</v>
      </c>
      <c r="E121" s="7" t="s">
        <v>353</v>
      </c>
      <c r="F121" s="8" t="s">
        <v>493</v>
      </c>
      <c r="G121" s="8" t="s">
        <v>494</v>
      </c>
      <c r="H121" s="8">
        <v>24</v>
      </c>
      <c r="I121" s="7" t="s">
        <v>82</v>
      </c>
      <c r="J121" s="8">
        <v>93</v>
      </c>
      <c r="K121" s="8">
        <v>87</v>
      </c>
      <c r="L121" s="8">
        <v>7</v>
      </c>
      <c r="M121" s="8">
        <v>11</v>
      </c>
      <c r="N121" s="8">
        <v>8</v>
      </c>
      <c r="O121" s="8">
        <v>0</v>
      </c>
      <c r="P121" s="8">
        <v>453.84</v>
      </c>
      <c r="Q121" s="8">
        <v>25</v>
      </c>
      <c r="R121" s="8" t="s">
        <v>83</v>
      </c>
      <c r="S121" s="8">
        <v>5</v>
      </c>
      <c r="T121" s="8" t="s">
        <v>75</v>
      </c>
      <c r="U121" s="7" t="s">
        <v>356</v>
      </c>
    </row>
    <row r="122" spans="1:21" ht="15" customHeight="1" x14ac:dyDescent="0.3">
      <c r="A122" s="7" t="s">
        <v>495</v>
      </c>
      <c r="B122" s="7" t="s">
        <v>68</v>
      </c>
      <c r="C122" s="7" t="s">
        <v>28</v>
      </c>
      <c r="D122" s="7" t="s">
        <v>117</v>
      </c>
      <c r="E122" s="7" t="s">
        <v>263</v>
      </c>
      <c r="F122" s="8" t="s">
        <v>496</v>
      </c>
      <c r="G122" s="8" t="s">
        <v>497</v>
      </c>
      <c r="H122" s="8">
        <v>16</v>
      </c>
      <c r="I122" s="7" t="s">
        <v>127</v>
      </c>
      <c r="J122" s="8">
        <v>96</v>
      </c>
      <c r="K122" s="8">
        <v>88</v>
      </c>
      <c r="L122" s="8">
        <v>10</v>
      </c>
      <c r="M122" s="8">
        <v>10</v>
      </c>
      <c r="N122" s="8">
        <v>9</v>
      </c>
      <c r="O122" s="8">
        <v>3</v>
      </c>
      <c r="P122" s="8">
        <v>257.27999999999997</v>
      </c>
      <c r="Q122" s="8">
        <v>15</v>
      </c>
      <c r="R122" s="8" t="s">
        <v>83</v>
      </c>
      <c r="S122" s="8">
        <v>9</v>
      </c>
      <c r="T122" s="8" t="s">
        <v>84</v>
      </c>
      <c r="U122" s="7" t="s">
        <v>266</v>
      </c>
    </row>
    <row r="123" spans="1:21" ht="15" customHeight="1" x14ac:dyDescent="0.3">
      <c r="A123" s="7" t="s">
        <v>498</v>
      </c>
      <c r="B123" s="7" t="s">
        <v>68</v>
      </c>
      <c r="C123" s="7" t="s">
        <v>140</v>
      </c>
      <c r="D123" s="7" t="s">
        <v>141</v>
      </c>
      <c r="E123" s="7" t="s">
        <v>246</v>
      </c>
      <c r="F123" s="8" t="s">
        <v>499</v>
      </c>
      <c r="G123" s="8" t="s">
        <v>500</v>
      </c>
      <c r="H123" s="8">
        <v>7</v>
      </c>
      <c r="I123" s="7" t="s">
        <v>97</v>
      </c>
      <c r="J123" s="8">
        <v>125</v>
      </c>
      <c r="K123" s="8">
        <v>118</v>
      </c>
      <c r="L123" s="8">
        <v>14</v>
      </c>
      <c r="M123" s="8">
        <v>1</v>
      </c>
      <c r="N123" s="8">
        <v>0</v>
      </c>
      <c r="O123" s="8">
        <v>9</v>
      </c>
      <c r="P123" s="8">
        <v>531.25</v>
      </c>
      <c r="Q123" s="8">
        <v>20</v>
      </c>
      <c r="R123" s="8" t="s">
        <v>74</v>
      </c>
      <c r="S123" s="8">
        <v>9</v>
      </c>
      <c r="T123" s="8" t="s">
        <v>75</v>
      </c>
      <c r="U123" s="7" t="s">
        <v>249</v>
      </c>
    </row>
    <row r="124" spans="1:21" ht="15" customHeight="1" x14ac:dyDescent="0.3">
      <c r="A124" s="7" t="s">
        <v>501</v>
      </c>
      <c r="B124" s="7" t="s">
        <v>68</v>
      </c>
      <c r="C124" s="7" t="s">
        <v>33</v>
      </c>
      <c r="D124" s="7" t="s">
        <v>69</v>
      </c>
      <c r="E124" s="7" t="s">
        <v>94</v>
      </c>
      <c r="F124" s="8" t="s">
        <v>502</v>
      </c>
      <c r="G124" s="8" t="s">
        <v>503</v>
      </c>
      <c r="H124" s="8">
        <v>30</v>
      </c>
      <c r="I124" s="7" t="s">
        <v>158</v>
      </c>
      <c r="J124" s="8">
        <v>194</v>
      </c>
      <c r="K124" s="8">
        <v>175</v>
      </c>
      <c r="L124" s="8">
        <v>20</v>
      </c>
      <c r="M124" s="8">
        <v>19</v>
      </c>
      <c r="N124" s="8">
        <v>7</v>
      </c>
      <c r="O124" s="8">
        <v>5</v>
      </c>
      <c r="P124" s="8">
        <v>1451.12</v>
      </c>
      <c r="Q124" s="8">
        <v>30</v>
      </c>
      <c r="R124" s="8" t="s">
        <v>83</v>
      </c>
      <c r="S124" s="8">
        <v>17</v>
      </c>
      <c r="T124" s="8" t="s">
        <v>122</v>
      </c>
      <c r="U124" s="7" t="s">
        <v>98</v>
      </c>
    </row>
    <row r="125" spans="1:21" ht="15" customHeight="1" x14ac:dyDescent="0.3">
      <c r="A125" s="7" t="s">
        <v>504</v>
      </c>
      <c r="B125" s="7" t="s">
        <v>68</v>
      </c>
      <c r="C125" s="7" t="s">
        <v>37</v>
      </c>
      <c r="D125" s="7" t="s">
        <v>78</v>
      </c>
      <c r="E125" s="7" t="s">
        <v>130</v>
      </c>
      <c r="F125" s="8" t="s">
        <v>505</v>
      </c>
      <c r="G125" s="8" t="s">
        <v>506</v>
      </c>
      <c r="H125" s="8">
        <v>51</v>
      </c>
      <c r="I125" s="7" t="s">
        <v>91</v>
      </c>
      <c r="J125" s="8">
        <v>22</v>
      </c>
      <c r="K125" s="8">
        <v>20</v>
      </c>
      <c r="L125" s="8">
        <v>5</v>
      </c>
      <c r="M125" s="8">
        <v>1</v>
      </c>
      <c r="N125" s="8">
        <v>1</v>
      </c>
      <c r="O125" s="8">
        <v>3</v>
      </c>
      <c r="P125" s="8">
        <v>183.26</v>
      </c>
      <c r="Q125" s="8">
        <v>40</v>
      </c>
      <c r="R125" s="8" t="s">
        <v>83</v>
      </c>
      <c r="S125" s="8">
        <v>0</v>
      </c>
      <c r="T125" s="8" t="s">
        <v>75</v>
      </c>
      <c r="U125" s="7" t="s">
        <v>133</v>
      </c>
    </row>
    <row r="126" spans="1:21" ht="15" customHeight="1" x14ac:dyDescent="0.3">
      <c r="A126" s="7" t="s">
        <v>507</v>
      </c>
      <c r="B126" s="7" t="s">
        <v>68</v>
      </c>
      <c r="C126" s="7" t="s">
        <v>40</v>
      </c>
      <c r="D126" s="7" t="s">
        <v>170</v>
      </c>
      <c r="E126" s="7" t="s">
        <v>155</v>
      </c>
      <c r="F126" s="8" t="s">
        <v>508</v>
      </c>
      <c r="G126" s="8" t="s">
        <v>509</v>
      </c>
      <c r="H126" s="8">
        <v>17</v>
      </c>
      <c r="I126" s="7" t="s">
        <v>145</v>
      </c>
      <c r="J126" s="8">
        <v>128</v>
      </c>
      <c r="K126" s="8">
        <v>125</v>
      </c>
      <c r="L126" s="8">
        <v>7</v>
      </c>
      <c r="M126" s="8">
        <v>2</v>
      </c>
      <c r="N126" s="8">
        <v>64</v>
      </c>
      <c r="O126" s="8">
        <v>10</v>
      </c>
      <c r="P126" s="8">
        <v>1176.32</v>
      </c>
      <c r="Q126" s="8">
        <v>60</v>
      </c>
      <c r="R126" s="8" t="s">
        <v>83</v>
      </c>
      <c r="S126" s="8">
        <v>6</v>
      </c>
      <c r="T126" s="8" t="s">
        <v>75</v>
      </c>
      <c r="U126" s="7" t="s">
        <v>159</v>
      </c>
    </row>
    <row r="127" spans="1:21" ht="15" customHeight="1" x14ac:dyDescent="0.3">
      <c r="A127" s="7" t="s">
        <v>510</v>
      </c>
      <c r="B127" s="7" t="s">
        <v>68</v>
      </c>
      <c r="C127" s="7" t="s">
        <v>40</v>
      </c>
      <c r="D127" s="7" t="s">
        <v>170</v>
      </c>
      <c r="E127" s="7" t="s">
        <v>155</v>
      </c>
      <c r="F127" s="8" t="s">
        <v>511</v>
      </c>
      <c r="G127" s="8" t="s">
        <v>512</v>
      </c>
      <c r="H127" s="8">
        <v>71</v>
      </c>
      <c r="I127" s="7" t="s">
        <v>107</v>
      </c>
      <c r="J127" s="8">
        <v>166</v>
      </c>
      <c r="K127" s="8">
        <v>148</v>
      </c>
      <c r="L127" s="8">
        <v>5</v>
      </c>
      <c r="M127" s="8">
        <v>2</v>
      </c>
      <c r="N127" s="8">
        <v>44</v>
      </c>
      <c r="O127" s="8">
        <v>0</v>
      </c>
      <c r="P127" s="8">
        <v>1269.9000000000001</v>
      </c>
      <c r="Q127" s="8">
        <v>60</v>
      </c>
      <c r="R127" s="8" t="s">
        <v>83</v>
      </c>
      <c r="S127" s="8">
        <v>11</v>
      </c>
      <c r="T127" s="8" t="s">
        <v>122</v>
      </c>
      <c r="U127" s="7" t="s">
        <v>159</v>
      </c>
    </row>
    <row r="128" spans="1:21" ht="15" customHeight="1" x14ac:dyDescent="0.3">
      <c r="A128" s="7" t="s">
        <v>513</v>
      </c>
      <c r="B128" s="7" t="s">
        <v>68</v>
      </c>
      <c r="C128" s="7" t="s">
        <v>40</v>
      </c>
      <c r="D128" s="7" t="s">
        <v>154</v>
      </c>
      <c r="E128" s="7" t="s">
        <v>155</v>
      </c>
      <c r="F128" s="8" t="s">
        <v>514</v>
      </c>
      <c r="G128" s="8" t="s">
        <v>515</v>
      </c>
      <c r="H128" s="8">
        <v>76</v>
      </c>
      <c r="I128" s="7" t="s">
        <v>111</v>
      </c>
      <c r="J128" s="8">
        <v>195</v>
      </c>
      <c r="K128" s="8">
        <v>179</v>
      </c>
      <c r="L128" s="8">
        <v>6</v>
      </c>
      <c r="M128" s="8">
        <v>5</v>
      </c>
      <c r="N128" s="8">
        <v>1</v>
      </c>
      <c r="O128" s="8">
        <v>1</v>
      </c>
      <c r="P128" s="8">
        <v>1706.25</v>
      </c>
      <c r="Q128" s="8">
        <v>60</v>
      </c>
      <c r="R128" s="8" t="s">
        <v>83</v>
      </c>
      <c r="S128" s="8">
        <v>16</v>
      </c>
      <c r="T128" s="8" t="s">
        <v>75</v>
      </c>
      <c r="U128" s="7" t="s">
        <v>159</v>
      </c>
    </row>
    <row r="129" spans="1:21" ht="15" customHeight="1" x14ac:dyDescent="0.3">
      <c r="A129" s="7" t="s">
        <v>516</v>
      </c>
      <c r="B129" s="7" t="s">
        <v>68</v>
      </c>
      <c r="C129" s="7" t="s">
        <v>28</v>
      </c>
      <c r="D129" s="7" t="s">
        <v>232</v>
      </c>
      <c r="E129" s="7" t="s">
        <v>297</v>
      </c>
      <c r="F129" s="8" t="s">
        <v>517</v>
      </c>
      <c r="G129" s="8" t="s">
        <v>518</v>
      </c>
      <c r="H129" s="8">
        <v>11</v>
      </c>
      <c r="I129" s="7" t="s">
        <v>115</v>
      </c>
      <c r="J129" s="8">
        <v>110</v>
      </c>
      <c r="K129" s="8">
        <v>97</v>
      </c>
      <c r="L129" s="8">
        <v>0</v>
      </c>
      <c r="M129" s="8">
        <v>15</v>
      </c>
      <c r="N129" s="8">
        <v>23</v>
      </c>
      <c r="O129" s="8">
        <v>5</v>
      </c>
      <c r="P129" s="8">
        <v>687.5</v>
      </c>
      <c r="Q129" s="8">
        <v>30</v>
      </c>
      <c r="R129" s="8" t="s">
        <v>83</v>
      </c>
      <c r="S129" s="8">
        <v>7</v>
      </c>
      <c r="T129" s="8" t="s">
        <v>122</v>
      </c>
      <c r="U129" s="7" t="s">
        <v>300</v>
      </c>
    </row>
    <row r="130" spans="1:21" ht="15" customHeight="1" x14ac:dyDescent="0.3">
      <c r="A130" s="7" t="s">
        <v>519</v>
      </c>
      <c r="B130" s="7" t="s">
        <v>68</v>
      </c>
      <c r="C130" s="7" t="s">
        <v>33</v>
      </c>
      <c r="D130" s="7" t="s">
        <v>87</v>
      </c>
      <c r="E130" s="7" t="s">
        <v>88</v>
      </c>
      <c r="F130" s="8" t="s">
        <v>520</v>
      </c>
      <c r="G130" s="8" t="s">
        <v>521</v>
      </c>
      <c r="H130" s="8">
        <v>11</v>
      </c>
      <c r="I130" s="7" t="s">
        <v>127</v>
      </c>
      <c r="J130" s="8">
        <v>180</v>
      </c>
      <c r="K130" s="8">
        <v>174</v>
      </c>
      <c r="L130" s="8">
        <v>8</v>
      </c>
      <c r="M130" s="8">
        <v>27</v>
      </c>
      <c r="N130" s="8">
        <v>3</v>
      </c>
      <c r="O130" s="8">
        <v>2</v>
      </c>
      <c r="P130" s="8">
        <v>961.2</v>
      </c>
      <c r="Q130" s="8">
        <v>20</v>
      </c>
      <c r="R130" s="8" t="s">
        <v>74</v>
      </c>
      <c r="S130" s="8">
        <v>2</v>
      </c>
      <c r="T130" s="8" t="s">
        <v>75</v>
      </c>
      <c r="U130" s="7" t="s">
        <v>92</v>
      </c>
    </row>
    <row r="131" spans="1:21" ht="15" customHeight="1" x14ac:dyDescent="0.3">
      <c r="A131" s="7" t="s">
        <v>522</v>
      </c>
      <c r="B131" s="7" t="s">
        <v>68</v>
      </c>
      <c r="C131" s="7" t="s">
        <v>40</v>
      </c>
      <c r="D131" s="7" t="s">
        <v>154</v>
      </c>
      <c r="E131" s="7" t="s">
        <v>155</v>
      </c>
      <c r="F131" s="8" t="s">
        <v>523</v>
      </c>
      <c r="G131" s="8" t="s">
        <v>524</v>
      </c>
      <c r="H131" s="8">
        <v>80</v>
      </c>
      <c r="I131" s="7" t="s">
        <v>111</v>
      </c>
      <c r="J131" s="8">
        <v>95</v>
      </c>
      <c r="K131" s="8">
        <v>86</v>
      </c>
      <c r="L131" s="8">
        <v>1</v>
      </c>
      <c r="M131" s="8">
        <v>1</v>
      </c>
      <c r="N131" s="8">
        <v>33</v>
      </c>
      <c r="O131" s="8">
        <v>0</v>
      </c>
      <c r="P131" s="8">
        <v>768.55</v>
      </c>
      <c r="Q131" s="8">
        <v>60</v>
      </c>
      <c r="R131" s="8" t="s">
        <v>83</v>
      </c>
      <c r="S131" s="8">
        <v>4</v>
      </c>
      <c r="T131" s="8" t="s">
        <v>122</v>
      </c>
      <c r="U131" s="7" t="s">
        <v>159</v>
      </c>
    </row>
  </sheetData>
  <conditionalFormatting sqref="R2:R131">
    <cfRule type="cellIs" dxfId="9" priority="2" operator="equal">
      <formula>"No"</formula>
    </cfRule>
    <cfRule type="cellIs" dxfId="8" priority="3" operator="equal">
      <formula>"Yes"</formula>
    </cfRule>
  </conditionalFormatting>
  <conditionalFormatting sqref="T2:T131">
    <cfRule type="cellIs" dxfId="7" priority="4" operator="equal">
      <formula>"Delayed"</formula>
    </cfRule>
    <cfRule type="cellIs" dxfId="6" priority="5" operator="equal">
      <formula>"Escalated"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showGridLines="0" zoomScaleNormal="100" workbookViewId="0">
      <pane ySplit="4" topLeftCell="A5" activePane="bottomLeft" state="frozen"/>
      <selection pane="bottomLeft" sqref="A1:L1"/>
    </sheetView>
  </sheetViews>
  <sheetFormatPr defaultColWidth="8.6640625" defaultRowHeight="14.4" x14ac:dyDescent="0.3"/>
  <cols>
    <col min="1" max="1" width="24" customWidth="1"/>
    <col min="2" max="2" width="18" customWidth="1"/>
    <col min="3" max="3" width="11" customWidth="1"/>
    <col min="4" max="4" width="14" customWidth="1"/>
    <col min="5" max="5" width="16" customWidth="1"/>
    <col min="6" max="7" width="18" customWidth="1"/>
    <col min="8" max="8" width="16" customWidth="1"/>
    <col min="9" max="9" width="17" customWidth="1"/>
    <col min="10" max="10" width="14" customWidth="1"/>
    <col min="11" max="12" width="12" customWidth="1"/>
    <col min="13" max="14" width="14" customWidth="1"/>
    <col min="15" max="15" width="13" customWidth="1"/>
  </cols>
  <sheetData>
    <row r="1" spans="1:15" ht="19.5" customHeight="1" x14ac:dyDescent="0.4">
      <c r="A1" s="30" t="s">
        <v>525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5" ht="15" customHeight="1" x14ac:dyDescent="0.3">
      <c r="A2" s="31" t="s">
        <v>526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5" ht="41.25" customHeight="1" x14ac:dyDescent="0.3">
      <c r="A4" s="6" t="s">
        <v>50</v>
      </c>
      <c r="B4" s="6" t="s">
        <v>48</v>
      </c>
      <c r="C4" s="6" t="s">
        <v>527</v>
      </c>
      <c r="D4" s="6" t="s">
        <v>56</v>
      </c>
      <c r="E4" s="6" t="s">
        <v>528</v>
      </c>
      <c r="F4" s="6" t="s">
        <v>529</v>
      </c>
      <c r="G4" s="6" t="s">
        <v>530</v>
      </c>
      <c r="H4" s="6" t="s">
        <v>531</v>
      </c>
      <c r="I4" s="6" t="s">
        <v>532</v>
      </c>
      <c r="J4" s="6" t="s">
        <v>533</v>
      </c>
      <c r="K4" s="6" t="s">
        <v>534</v>
      </c>
      <c r="L4" s="6" t="s">
        <v>535</v>
      </c>
      <c r="M4" s="6" t="s">
        <v>536</v>
      </c>
      <c r="N4" s="6" t="s">
        <v>537</v>
      </c>
      <c r="O4" s="6" t="s">
        <v>538</v>
      </c>
    </row>
    <row r="5" spans="1:15" ht="15" customHeight="1" x14ac:dyDescent="0.3">
      <c r="A5" s="7" t="s">
        <v>155</v>
      </c>
      <c r="B5" s="7" t="str">
        <f>INDEX(Raw_Dataset!$C$2:$C$131,MATCH(A5,Raw_Dataset!$E$2:$E$131,0))</f>
        <v>Logistics</v>
      </c>
      <c r="C5" s="8">
        <f>SUMIF(Raw_Dataset!$E$2:$E$131,A5,Raw_Dataset!$J$2:$J$131)</f>
        <v>1797</v>
      </c>
      <c r="D5" s="8">
        <f>SUMIF(Raw_Dataset!$E$2:$E$131,A5,Raw_Dataset!$K$2:$K$131)</f>
        <v>1660</v>
      </c>
      <c r="E5" s="8">
        <f>ROUND(AVERAGEIF(Raw_Dataset!$E$2:$E$131,A5,Raw_Dataset!$H$2:$H$131),1)</f>
        <v>59.5</v>
      </c>
      <c r="F5" s="8">
        <f>ROUND(AVERAGEIF(Raw_Dataset!$E$2:$E$131,A5,Raw_Dataset!$N$2:$N$131),1)</f>
        <v>27.8</v>
      </c>
      <c r="G5" s="8">
        <f>ROUND(AVERAGEIF(Raw_Dataset!$E$2:$E$131,A5,Raw_Dataset!$O$2:$O$131),1)</f>
        <v>2.1</v>
      </c>
      <c r="H5" s="8">
        <f t="shared" ref="H5:H23" si="0">ROUND(E5+F5+G5,1)</f>
        <v>89.4</v>
      </c>
      <c r="I5" s="8">
        <f>ROUND(SUMIF(Raw_Dataset!$E$2:$E$131,A5,Raw_Dataset!$P$2:$P$131),2)</f>
        <v>14783.45</v>
      </c>
      <c r="J5" s="8">
        <f t="shared" ref="J5:J23" si="1">ROUND(I5/C5,2)</f>
        <v>8.23</v>
      </c>
      <c r="K5" s="8">
        <f>ROUND(SUMIF(Raw_Dataset!$E$2:$E$131,A5,Raw_Dataset!$L$2:$L$131)/C5*100,2)</f>
        <v>3.39</v>
      </c>
      <c r="L5" s="8">
        <f>ROUND(SUMIF(Raw_Dataset!$E$2:$E$131,A5,Raw_Dataset!$M$2:$M$131)/C5*100,2)</f>
        <v>1.84</v>
      </c>
      <c r="M5" s="8">
        <f>ROUND(COUNTIFS(Raw_Dataset!$E$2:$E$131,A5,Raw_Dataset!$R$2:$R$131,"Yes")/COUNTIF(Raw_Dataset!$E$2:$E$131,A5)*100,1)</f>
        <v>15.4</v>
      </c>
      <c r="N5" s="8">
        <f>ROUND(SUMIF(Raw_Dataset!$E$2:$E$131,A5,Raw_Dataset!$S$2:$S$131)/C5*100,2)</f>
        <v>5.62</v>
      </c>
      <c r="O5" s="8">
        <f t="shared" ref="O5:O23" si="2">ROUND(D5/C5*100,1)</f>
        <v>92.4</v>
      </c>
    </row>
    <row r="6" spans="1:15" ht="15" customHeight="1" x14ac:dyDescent="0.3">
      <c r="A6" s="7" t="s">
        <v>118</v>
      </c>
      <c r="B6" s="7" t="str">
        <f>INDEX(Raw_Dataset!$C$2:$C$131,MATCH(A6,Raw_Dataset!$E$2:$E$131,0))</f>
        <v>Finance</v>
      </c>
      <c r="C6" s="8">
        <f>SUMIF(Raw_Dataset!$E$2:$E$131,A6,Raw_Dataset!$J$2:$J$131)</f>
        <v>505</v>
      </c>
      <c r="D6" s="8">
        <f>SUMIF(Raw_Dataset!$E$2:$E$131,A6,Raw_Dataset!$K$2:$K$131)</f>
        <v>474</v>
      </c>
      <c r="E6" s="8">
        <f>ROUND(AVERAGEIF(Raw_Dataset!$E$2:$E$131,A6,Raw_Dataset!$H$2:$H$131),1)</f>
        <v>16.3</v>
      </c>
      <c r="F6" s="8">
        <f>ROUND(AVERAGEIF(Raw_Dataset!$E$2:$E$131,A6,Raw_Dataset!$N$2:$N$131),1)</f>
        <v>17.8</v>
      </c>
      <c r="G6" s="8">
        <f>ROUND(AVERAGEIF(Raw_Dataset!$E$2:$E$131,A6,Raw_Dataset!$O$2:$O$131),1)</f>
        <v>21.2</v>
      </c>
      <c r="H6" s="8">
        <f t="shared" si="0"/>
        <v>55.3</v>
      </c>
      <c r="I6" s="8">
        <f>ROUND(SUMIF(Raw_Dataset!$E$2:$E$131,A6,Raw_Dataset!$P$2:$P$131),2)</f>
        <v>2477.3000000000002</v>
      </c>
      <c r="J6" s="8">
        <f t="shared" si="1"/>
        <v>4.91</v>
      </c>
      <c r="K6" s="8">
        <f>ROUND(SUMIF(Raw_Dataset!$E$2:$E$131,A6,Raw_Dataset!$L$2:$L$131)/C6*100,2)</f>
        <v>2.1800000000000002</v>
      </c>
      <c r="L6" s="8">
        <f>ROUND(SUMIF(Raw_Dataset!$E$2:$E$131,A6,Raw_Dataset!$M$2:$M$131)/C6*100,2)</f>
        <v>1.39</v>
      </c>
      <c r="M6" s="8">
        <f>ROUND(COUNTIFS(Raw_Dataset!$E$2:$E$131,A6,Raw_Dataset!$R$2:$R$131,"Yes")/COUNTIF(Raw_Dataset!$E$2:$E$131,A6)*100,1)</f>
        <v>16.7</v>
      </c>
      <c r="N6" s="8">
        <f>ROUND(SUMIF(Raw_Dataset!$E$2:$E$131,A6,Raw_Dataset!$S$2:$S$131)/C6*100,2)</f>
        <v>5.74</v>
      </c>
      <c r="O6" s="8">
        <f t="shared" si="2"/>
        <v>93.9</v>
      </c>
    </row>
    <row r="7" spans="1:15" ht="15" customHeight="1" x14ac:dyDescent="0.3">
      <c r="A7" s="7" t="s">
        <v>79</v>
      </c>
      <c r="B7" s="7" t="str">
        <f>INDEX(Raw_Dataset!$C$2:$C$131,MATCH(A7,Raw_Dataset!$E$2:$E$131,0))</f>
        <v>Customer Service</v>
      </c>
      <c r="C7" s="8">
        <f>SUMIF(Raw_Dataset!$E$2:$E$131,A7,Raw_Dataset!$J$2:$J$131)</f>
        <v>1049</v>
      </c>
      <c r="D7" s="8">
        <f>SUMIF(Raw_Dataset!$E$2:$E$131,A7,Raw_Dataset!$K$2:$K$131)</f>
        <v>969</v>
      </c>
      <c r="E7" s="8">
        <f>ROUND(AVERAGEIF(Raw_Dataset!$E$2:$E$131,A7,Raw_Dataset!$H$2:$H$131),1)</f>
        <v>14.6</v>
      </c>
      <c r="F7" s="8">
        <f>ROUND(AVERAGEIF(Raw_Dataset!$E$2:$E$131,A7,Raw_Dataset!$N$2:$N$131),1)</f>
        <v>38.4</v>
      </c>
      <c r="G7" s="8">
        <f>ROUND(AVERAGEIF(Raw_Dataset!$E$2:$E$131,A7,Raw_Dataset!$O$2:$O$131),1)</f>
        <v>2.1</v>
      </c>
      <c r="H7" s="8">
        <f t="shared" si="0"/>
        <v>55.1</v>
      </c>
      <c r="I7" s="8">
        <f>ROUND(SUMIF(Raw_Dataset!$E$2:$E$131,A7,Raw_Dataset!$P$2:$P$131),2)</f>
        <v>4648.0200000000004</v>
      </c>
      <c r="J7" s="8">
        <f t="shared" si="1"/>
        <v>4.43</v>
      </c>
      <c r="K7" s="8">
        <f>ROUND(SUMIF(Raw_Dataset!$E$2:$E$131,A7,Raw_Dataset!$L$2:$L$131)/C7*100,2)</f>
        <v>3.05</v>
      </c>
      <c r="L7" s="8">
        <f>ROUND(SUMIF(Raw_Dataset!$E$2:$E$131,A7,Raw_Dataset!$M$2:$M$131)/C7*100,2)</f>
        <v>10.68</v>
      </c>
      <c r="M7" s="8">
        <f>ROUND(COUNTIFS(Raw_Dataset!$E$2:$E$131,A7,Raw_Dataset!$R$2:$R$131,"Yes")/COUNTIF(Raw_Dataset!$E$2:$E$131,A7)*100,1)</f>
        <v>0</v>
      </c>
      <c r="N7" s="8">
        <f>ROUND(SUMIF(Raw_Dataset!$E$2:$E$131,A7,Raw_Dataset!$S$2:$S$131)/C7*100,2)</f>
        <v>5.91</v>
      </c>
      <c r="O7" s="8">
        <f t="shared" si="2"/>
        <v>92.4</v>
      </c>
    </row>
    <row r="8" spans="1:15" ht="15" customHeight="1" x14ac:dyDescent="0.3">
      <c r="A8" s="7" t="s">
        <v>100</v>
      </c>
      <c r="B8" s="7" t="str">
        <f>INDEX(Raw_Dataset!$C$2:$C$131,MATCH(A8,Raw_Dataset!$E$2:$E$131,0))</f>
        <v>Customer Service</v>
      </c>
      <c r="C8" s="8">
        <f>SUMIF(Raw_Dataset!$E$2:$E$131,A8,Raw_Dataset!$J$2:$J$131)</f>
        <v>579</v>
      </c>
      <c r="D8" s="8">
        <f>SUMIF(Raw_Dataset!$E$2:$E$131,A8,Raw_Dataset!$K$2:$K$131)</f>
        <v>532</v>
      </c>
      <c r="E8" s="8">
        <f>ROUND(AVERAGEIF(Raw_Dataset!$E$2:$E$131,A8,Raw_Dataset!$H$2:$H$131),1)</f>
        <v>7.6</v>
      </c>
      <c r="F8" s="8">
        <f>ROUND(AVERAGEIF(Raw_Dataset!$E$2:$E$131,A8,Raw_Dataset!$N$2:$N$131),1)</f>
        <v>2.8</v>
      </c>
      <c r="G8" s="8">
        <f>ROUND(AVERAGEIF(Raw_Dataset!$E$2:$E$131,A8,Raw_Dataset!$O$2:$O$131),1)</f>
        <v>0.4</v>
      </c>
      <c r="H8" s="8">
        <f t="shared" si="0"/>
        <v>10.8</v>
      </c>
      <c r="I8" s="8">
        <f>ROUND(SUMIF(Raw_Dataset!$E$2:$E$131,A8,Raw_Dataset!$P$2:$P$131),2)</f>
        <v>1462.4</v>
      </c>
      <c r="J8" s="8">
        <f t="shared" si="1"/>
        <v>2.5299999999999998</v>
      </c>
      <c r="K8" s="8">
        <f>ROUND(SUMIF(Raw_Dataset!$E$2:$E$131,A8,Raw_Dataset!$L$2:$L$131)/C8*100,2)</f>
        <v>2.42</v>
      </c>
      <c r="L8" s="8">
        <f>ROUND(SUMIF(Raw_Dataset!$E$2:$E$131,A8,Raw_Dataset!$M$2:$M$131)/C8*100,2)</f>
        <v>1.21</v>
      </c>
      <c r="M8" s="8">
        <f>ROUND(COUNTIFS(Raw_Dataset!$E$2:$E$131,A8,Raw_Dataset!$R$2:$R$131,"Yes")/COUNTIF(Raw_Dataset!$E$2:$E$131,A8)*100,1)</f>
        <v>80</v>
      </c>
      <c r="N8" s="8">
        <f>ROUND(SUMIF(Raw_Dataset!$E$2:$E$131,A8,Raw_Dataset!$S$2:$S$131)/C8*100,2)</f>
        <v>1.55</v>
      </c>
      <c r="O8" s="8">
        <f t="shared" si="2"/>
        <v>91.9</v>
      </c>
    </row>
    <row r="9" spans="1:15" ht="15" customHeight="1" x14ac:dyDescent="0.3">
      <c r="A9" s="7" t="s">
        <v>224</v>
      </c>
      <c r="B9" s="7" t="str">
        <f>INDEX(Raw_Dataset!$C$2:$C$131,MATCH(A9,Raw_Dataset!$E$2:$E$131,0))</f>
        <v>Logistics</v>
      </c>
      <c r="C9" s="8">
        <f>SUMIF(Raw_Dataset!$E$2:$E$131,A9,Raw_Dataset!$J$2:$J$131)</f>
        <v>591</v>
      </c>
      <c r="D9" s="8">
        <f>SUMIF(Raw_Dataset!$E$2:$E$131,A9,Raw_Dataset!$K$2:$K$131)</f>
        <v>538</v>
      </c>
      <c r="E9" s="8">
        <f>ROUND(AVERAGEIF(Raw_Dataset!$E$2:$E$131,A9,Raw_Dataset!$H$2:$H$131),1)</f>
        <v>12.7</v>
      </c>
      <c r="F9" s="8">
        <f>ROUND(AVERAGEIF(Raw_Dataset!$E$2:$E$131,A9,Raw_Dataset!$N$2:$N$131),1)</f>
        <v>25.2</v>
      </c>
      <c r="G9" s="8">
        <f>ROUND(AVERAGEIF(Raw_Dataset!$E$2:$E$131,A9,Raw_Dataset!$O$2:$O$131),1)</f>
        <v>2.7</v>
      </c>
      <c r="H9" s="8">
        <f t="shared" si="0"/>
        <v>40.6</v>
      </c>
      <c r="I9" s="8">
        <f>ROUND(SUMIF(Raw_Dataset!$E$2:$E$131,A9,Raw_Dataset!$P$2:$P$131),2)</f>
        <v>2851.93</v>
      </c>
      <c r="J9" s="8">
        <f t="shared" si="1"/>
        <v>4.83</v>
      </c>
      <c r="K9" s="8">
        <f>ROUND(SUMIF(Raw_Dataset!$E$2:$E$131,A9,Raw_Dataset!$L$2:$L$131)/C9*100,2)</f>
        <v>2.54</v>
      </c>
      <c r="L9" s="8">
        <f>ROUND(SUMIF(Raw_Dataset!$E$2:$E$131,A9,Raw_Dataset!$M$2:$M$131)/C9*100,2)</f>
        <v>2.2000000000000002</v>
      </c>
      <c r="M9" s="8">
        <f>ROUND(COUNTIFS(Raw_Dataset!$E$2:$E$131,A9,Raw_Dataset!$R$2:$R$131,"Yes")/COUNTIF(Raw_Dataset!$E$2:$E$131,A9)*100,1)</f>
        <v>50</v>
      </c>
      <c r="N9" s="8">
        <f>ROUND(SUMIF(Raw_Dataset!$E$2:$E$131,A9,Raw_Dataset!$S$2:$S$131)/C9*100,2)</f>
        <v>6.77</v>
      </c>
      <c r="O9" s="8">
        <f t="shared" si="2"/>
        <v>91</v>
      </c>
    </row>
    <row r="10" spans="1:15" ht="15" customHeight="1" x14ac:dyDescent="0.3">
      <c r="A10" s="7" t="s">
        <v>213</v>
      </c>
      <c r="B10" s="7" t="str">
        <f>INDEX(Raw_Dataset!$C$2:$C$131,MATCH(A10,Raw_Dataset!$E$2:$E$131,0))</f>
        <v>Logistics</v>
      </c>
      <c r="C10" s="8">
        <f>SUMIF(Raw_Dataset!$E$2:$E$131,A10,Raw_Dataset!$J$2:$J$131)</f>
        <v>784</v>
      </c>
      <c r="D10" s="8">
        <f>SUMIF(Raw_Dataset!$E$2:$E$131,A10,Raw_Dataset!$K$2:$K$131)</f>
        <v>743</v>
      </c>
      <c r="E10" s="8">
        <f>ROUND(AVERAGEIF(Raw_Dataset!$E$2:$E$131,A10,Raw_Dataset!$H$2:$H$131),1)</f>
        <v>9.4</v>
      </c>
      <c r="F10" s="8">
        <f>ROUND(AVERAGEIF(Raw_Dataset!$E$2:$E$131,A10,Raw_Dataset!$N$2:$N$131),1)</f>
        <v>5.7</v>
      </c>
      <c r="G10" s="8">
        <f>ROUND(AVERAGEIF(Raw_Dataset!$E$2:$E$131,A10,Raw_Dataset!$O$2:$O$131),1)</f>
        <v>3.9</v>
      </c>
      <c r="H10" s="8">
        <f t="shared" si="0"/>
        <v>19</v>
      </c>
      <c r="I10" s="8">
        <f>ROUND(SUMIF(Raw_Dataset!$E$2:$E$131,A10,Raw_Dataset!$P$2:$P$131),2)</f>
        <v>2958.49</v>
      </c>
      <c r="J10" s="8">
        <f t="shared" si="1"/>
        <v>3.77</v>
      </c>
      <c r="K10" s="8">
        <f>ROUND(SUMIF(Raw_Dataset!$E$2:$E$131,A10,Raw_Dataset!$L$2:$L$131)/C10*100,2)</f>
        <v>12.76</v>
      </c>
      <c r="L10" s="8">
        <f>ROUND(SUMIF(Raw_Dataset!$E$2:$E$131,A10,Raw_Dataset!$M$2:$M$131)/C10*100,2)</f>
        <v>1.66</v>
      </c>
      <c r="M10" s="8">
        <f>ROUND(COUNTIFS(Raw_Dataset!$E$2:$E$131,A10,Raw_Dataset!$R$2:$R$131,"Yes")/COUNTIF(Raw_Dataset!$E$2:$E$131,A10)*100,1)</f>
        <v>28.6</v>
      </c>
      <c r="N10" s="8">
        <f>ROUND(SUMIF(Raw_Dataset!$E$2:$E$131,A10,Raw_Dataset!$S$2:$S$131)/C10*100,2)</f>
        <v>5.99</v>
      </c>
      <c r="O10" s="8">
        <f t="shared" si="2"/>
        <v>94.8</v>
      </c>
    </row>
    <row r="11" spans="1:15" ht="15" customHeight="1" x14ac:dyDescent="0.3">
      <c r="A11" s="7" t="s">
        <v>70</v>
      </c>
      <c r="B11" s="7" t="str">
        <f>INDEX(Raw_Dataset!$C$2:$C$131,MATCH(A11,Raw_Dataset!$E$2:$E$131,0))</f>
        <v>Warehouse</v>
      </c>
      <c r="C11" s="8">
        <f>SUMIF(Raw_Dataset!$E$2:$E$131,A11,Raw_Dataset!$J$2:$J$131)</f>
        <v>587</v>
      </c>
      <c r="D11" s="8">
        <f>SUMIF(Raw_Dataset!$E$2:$E$131,A11,Raw_Dataset!$K$2:$K$131)</f>
        <v>555</v>
      </c>
      <c r="E11" s="8">
        <f>ROUND(AVERAGEIF(Raw_Dataset!$E$2:$E$131,A11,Raw_Dataset!$H$2:$H$131),1)</f>
        <v>14.2</v>
      </c>
      <c r="F11" s="8">
        <f>ROUND(AVERAGEIF(Raw_Dataset!$E$2:$E$131,A11,Raw_Dataset!$N$2:$N$131),1)</f>
        <v>5.3</v>
      </c>
      <c r="G11" s="8">
        <f>ROUND(AVERAGEIF(Raw_Dataset!$E$2:$E$131,A11,Raw_Dataset!$O$2:$O$131),1)</f>
        <v>2.2000000000000002</v>
      </c>
      <c r="H11" s="8">
        <f t="shared" si="0"/>
        <v>21.7</v>
      </c>
      <c r="I11" s="8">
        <f>ROUND(SUMIF(Raw_Dataset!$E$2:$E$131,A11,Raw_Dataset!$P$2:$P$131),2)</f>
        <v>2863.51</v>
      </c>
      <c r="J11" s="8">
        <f t="shared" si="1"/>
        <v>4.88</v>
      </c>
      <c r="K11" s="8">
        <f>ROUND(SUMIF(Raw_Dataset!$E$2:$E$131,A11,Raw_Dataset!$L$2:$L$131)/C11*100,2)</f>
        <v>11.75</v>
      </c>
      <c r="L11" s="8">
        <f>ROUND(SUMIF(Raw_Dataset!$E$2:$E$131,A11,Raw_Dataset!$M$2:$M$131)/C11*100,2)</f>
        <v>9.3699999999999992</v>
      </c>
      <c r="M11" s="8">
        <f>ROUND(COUNTIFS(Raw_Dataset!$E$2:$E$131,A11,Raw_Dataset!$R$2:$R$131,"Yes")/COUNTIF(Raw_Dataset!$E$2:$E$131,A11)*100,1)</f>
        <v>83.3</v>
      </c>
      <c r="N11" s="8">
        <f>ROUND(SUMIF(Raw_Dataset!$E$2:$E$131,A11,Raw_Dataset!$S$2:$S$131)/C11*100,2)</f>
        <v>6.81</v>
      </c>
      <c r="O11" s="8">
        <f t="shared" si="2"/>
        <v>94.5</v>
      </c>
    </row>
    <row r="12" spans="1:15" ht="15" customHeight="1" x14ac:dyDescent="0.3">
      <c r="A12" s="7" t="s">
        <v>180</v>
      </c>
      <c r="B12" s="7" t="str">
        <f>INDEX(Raw_Dataset!$C$2:$C$131,MATCH(A12,Raw_Dataset!$E$2:$E$131,0))</f>
        <v>Finance</v>
      </c>
      <c r="C12" s="8">
        <f>SUMIF(Raw_Dataset!$E$2:$E$131,A12,Raw_Dataset!$J$2:$J$131)</f>
        <v>1010</v>
      </c>
      <c r="D12" s="8">
        <f>SUMIF(Raw_Dataset!$E$2:$E$131,A12,Raw_Dataset!$K$2:$K$131)</f>
        <v>939</v>
      </c>
      <c r="E12" s="8">
        <f>ROUND(AVERAGEIF(Raw_Dataset!$E$2:$E$131,A12,Raw_Dataset!$H$2:$H$131),1)</f>
        <v>29</v>
      </c>
      <c r="F12" s="8">
        <f>ROUND(AVERAGEIF(Raw_Dataset!$E$2:$E$131,A12,Raw_Dataset!$N$2:$N$131),1)</f>
        <v>17.399999999999999</v>
      </c>
      <c r="G12" s="8">
        <f>ROUND(AVERAGEIF(Raw_Dataset!$E$2:$E$131,A12,Raw_Dataset!$O$2:$O$131),1)</f>
        <v>16.8</v>
      </c>
      <c r="H12" s="8">
        <f t="shared" si="0"/>
        <v>63.2</v>
      </c>
      <c r="I12" s="8">
        <f>ROUND(SUMIF(Raw_Dataset!$E$2:$E$131,A12,Raw_Dataset!$P$2:$P$131),2)</f>
        <v>4007.35</v>
      </c>
      <c r="J12" s="8">
        <f t="shared" si="1"/>
        <v>3.97</v>
      </c>
      <c r="K12" s="8">
        <f>ROUND(SUMIF(Raw_Dataset!$E$2:$E$131,A12,Raw_Dataset!$L$2:$L$131)/C12*100,2)</f>
        <v>3.27</v>
      </c>
      <c r="L12" s="8">
        <f>ROUND(SUMIF(Raw_Dataset!$E$2:$E$131,A12,Raw_Dataset!$M$2:$M$131)/C12*100,2)</f>
        <v>2.2799999999999998</v>
      </c>
      <c r="M12" s="8">
        <f>ROUND(COUNTIFS(Raw_Dataset!$E$2:$E$131,A12,Raw_Dataset!$R$2:$R$131,"Yes")/COUNTIF(Raw_Dataset!$E$2:$E$131,A12)*100,1)</f>
        <v>0</v>
      </c>
      <c r="N12" s="8">
        <f>ROUND(SUMIF(Raw_Dataset!$E$2:$E$131,A12,Raw_Dataset!$S$2:$S$131)/C12*100,2)</f>
        <v>6.04</v>
      </c>
      <c r="O12" s="8">
        <f t="shared" si="2"/>
        <v>93</v>
      </c>
    </row>
    <row r="13" spans="1:15" ht="15" customHeight="1" x14ac:dyDescent="0.3">
      <c r="A13" s="7" t="s">
        <v>263</v>
      </c>
      <c r="B13" s="7" t="str">
        <f>INDEX(Raw_Dataset!$C$2:$C$131,MATCH(A13,Raw_Dataset!$E$2:$E$131,0))</f>
        <v>Finance</v>
      </c>
      <c r="C13" s="8">
        <f>SUMIF(Raw_Dataset!$E$2:$E$131,A13,Raw_Dataset!$J$2:$J$131)</f>
        <v>1161</v>
      </c>
      <c r="D13" s="8">
        <f>SUMIF(Raw_Dataset!$E$2:$E$131,A13,Raw_Dataset!$K$2:$K$131)</f>
        <v>1062</v>
      </c>
      <c r="E13" s="8">
        <f>ROUND(AVERAGEIF(Raw_Dataset!$E$2:$E$131,A13,Raw_Dataset!$H$2:$H$131),1)</f>
        <v>11.6</v>
      </c>
      <c r="F13" s="8">
        <f>ROUND(AVERAGEIF(Raw_Dataset!$E$2:$E$131,A13,Raw_Dataset!$N$2:$N$131),1)</f>
        <v>3.3</v>
      </c>
      <c r="G13" s="8">
        <f>ROUND(AVERAGEIF(Raw_Dataset!$E$2:$E$131,A13,Raw_Dataset!$O$2:$O$131),1)</f>
        <v>1.6</v>
      </c>
      <c r="H13" s="8">
        <f t="shared" si="0"/>
        <v>16.5</v>
      </c>
      <c r="I13" s="8">
        <f>ROUND(SUMIF(Raw_Dataset!$E$2:$E$131,A13,Raw_Dataset!$P$2:$P$131),2)</f>
        <v>3860.66</v>
      </c>
      <c r="J13" s="8">
        <f t="shared" si="1"/>
        <v>3.33</v>
      </c>
      <c r="K13" s="8">
        <f>ROUND(SUMIF(Raw_Dataset!$E$2:$E$131,A13,Raw_Dataset!$L$2:$L$131)/C13*100,2)</f>
        <v>12.06</v>
      </c>
      <c r="L13" s="8">
        <f>ROUND(SUMIF(Raw_Dataset!$E$2:$E$131,A13,Raw_Dataset!$M$2:$M$131)/C13*100,2)</f>
        <v>9.4700000000000006</v>
      </c>
      <c r="M13" s="8">
        <f>ROUND(COUNTIFS(Raw_Dataset!$E$2:$E$131,A13,Raw_Dataset!$R$2:$R$131,"Yes")/COUNTIF(Raw_Dataset!$E$2:$E$131,A13)*100,1)</f>
        <v>50</v>
      </c>
      <c r="N13" s="8">
        <f>ROUND(SUMIF(Raw_Dataset!$E$2:$E$131,A13,Raw_Dataset!$S$2:$S$131)/C13*100,2)</f>
        <v>6.46</v>
      </c>
      <c r="O13" s="8">
        <f t="shared" si="2"/>
        <v>91.5</v>
      </c>
    </row>
    <row r="14" spans="1:15" ht="15" customHeight="1" x14ac:dyDescent="0.3">
      <c r="A14" s="7" t="s">
        <v>142</v>
      </c>
      <c r="B14" s="7" t="str">
        <f>INDEX(Raw_Dataset!$C$2:$C$131,MATCH(A14,Raw_Dataset!$E$2:$E$131,0))</f>
        <v>Sales</v>
      </c>
      <c r="C14" s="8">
        <f>SUMIF(Raw_Dataset!$E$2:$E$131,A14,Raw_Dataset!$J$2:$J$131)</f>
        <v>391</v>
      </c>
      <c r="D14" s="8">
        <f>SUMIF(Raw_Dataset!$E$2:$E$131,A14,Raw_Dataset!$K$2:$K$131)</f>
        <v>370</v>
      </c>
      <c r="E14" s="8">
        <f>ROUND(AVERAGEIF(Raw_Dataset!$E$2:$E$131,A14,Raw_Dataset!$H$2:$H$131),1)</f>
        <v>25.5</v>
      </c>
      <c r="F14" s="8">
        <f>ROUND(AVERAGEIF(Raw_Dataset!$E$2:$E$131,A14,Raw_Dataset!$N$2:$N$131),1)</f>
        <v>21.8</v>
      </c>
      <c r="G14" s="8">
        <f>ROUND(AVERAGEIF(Raw_Dataset!$E$2:$E$131,A14,Raw_Dataset!$O$2:$O$131),1)</f>
        <v>19</v>
      </c>
      <c r="H14" s="8">
        <f t="shared" si="0"/>
        <v>66.3</v>
      </c>
      <c r="I14" s="8">
        <f>ROUND(SUMIF(Raw_Dataset!$E$2:$E$131,A14,Raw_Dataset!$P$2:$P$131),2)</f>
        <v>1363.81</v>
      </c>
      <c r="J14" s="8">
        <f t="shared" si="1"/>
        <v>3.49</v>
      </c>
      <c r="K14" s="8">
        <f>ROUND(SUMIF(Raw_Dataset!$E$2:$E$131,A14,Raw_Dataset!$L$2:$L$131)/C14*100,2)</f>
        <v>2.0499999999999998</v>
      </c>
      <c r="L14" s="8">
        <f>ROUND(SUMIF(Raw_Dataset!$E$2:$E$131,A14,Raw_Dataset!$M$2:$M$131)/C14*100,2)</f>
        <v>2.81</v>
      </c>
      <c r="M14" s="8">
        <f>ROUND(COUNTIFS(Raw_Dataset!$E$2:$E$131,A14,Raw_Dataset!$R$2:$R$131,"Yes")/COUNTIF(Raw_Dataset!$E$2:$E$131,A14)*100,1)</f>
        <v>0</v>
      </c>
      <c r="N14" s="8">
        <f>ROUND(SUMIF(Raw_Dataset!$E$2:$E$131,A14,Raw_Dataset!$S$2:$S$131)/C14*100,2)</f>
        <v>5.37</v>
      </c>
      <c r="O14" s="8">
        <f t="shared" si="2"/>
        <v>94.6</v>
      </c>
    </row>
    <row r="15" spans="1:15" ht="15" customHeight="1" x14ac:dyDescent="0.3">
      <c r="A15" s="7" t="s">
        <v>277</v>
      </c>
      <c r="B15" s="7" t="str">
        <f>INDEX(Raw_Dataset!$C$2:$C$131,MATCH(A15,Raw_Dataset!$E$2:$E$131,0))</f>
        <v>Sales</v>
      </c>
      <c r="C15" s="8">
        <f>SUMIF(Raw_Dataset!$E$2:$E$131,A15,Raw_Dataset!$J$2:$J$131)</f>
        <v>517</v>
      </c>
      <c r="D15" s="8">
        <f>SUMIF(Raw_Dataset!$E$2:$E$131,A15,Raw_Dataset!$K$2:$K$131)</f>
        <v>481</v>
      </c>
      <c r="E15" s="8">
        <f>ROUND(AVERAGEIF(Raw_Dataset!$E$2:$E$131,A15,Raw_Dataset!$H$2:$H$131),1)</f>
        <v>6</v>
      </c>
      <c r="F15" s="8">
        <f>ROUND(AVERAGEIF(Raw_Dataset!$E$2:$E$131,A15,Raw_Dataset!$N$2:$N$131),1)</f>
        <v>4.3</v>
      </c>
      <c r="G15" s="8">
        <f>ROUND(AVERAGEIF(Raw_Dataset!$E$2:$E$131,A15,Raw_Dataset!$O$2:$O$131),1)</f>
        <v>1</v>
      </c>
      <c r="H15" s="8">
        <f t="shared" si="0"/>
        <v>11.3</v>
      </c>
      <c r="I15" s="8">
        <f>ROUND(SUMIF(Raw_Dataset!$E$2:$E$131,A15,Raw_Dataset!$P$2:$P$131),2)</f>
        <v>1645.99</v>
      </c>
      <c r="J15" s="8">
        <f t="shared" si="1"/>
        <v>3.18</v>
      </c>
      <c r="K15" s="8">
        <f>ROUND(SUMIF(Raw_Dataset!$E$2:$E$131,A15,Raw_Dataset!$L$2:$L$131)/C15*100,2)</f>
        <v>3.48</v>
      </c>
      <c r="L15" s="8">
        <f>ROUND(SUMIF(Raw_Dataset!$E$2:$E$131,A15,Raw_Dataset!$M$2:$M$131)/C15*100,2)</f>
        <v>1.93</v>
      </c>
      <c r="M15" s="8">
        <f>ROUND(COUNTIFS(Raw_Dataset!$E$2:$E$131,A15,Raw_Dataset!$R$2:$R$131,"Yes")/COUNTIF(Raw_Dataset!$E$2:$E$131,A15)*100,1)</f>
        <v>100</v>
      </c>
      <c r="N15" s="8">
        <f>ROUND(SUMIF(Raw_Dataset!$E$2:$E$131,A15,Raw_Dataset!$S$2:$S$131)/C15*100,2)</f>
        <v>1.1599999999999999</v>
      </c>
      <c r="O15" s="8">
        <f t="shared" si="2"/>
        <v>93</v>
      </c>
    </row>
    <row r="16" spans="1:15" ht="15" customHeight="1" x14ac:dyDescent="0.3">
      <c r="A16" s="7" t="s">
        <v>246</v>
      </c>
      <c r="B16" s="7" t="str">
        <f>INDEX(Raw_Dataset!$C$2:$C$131,MATCH(A16,Raw_Dataset!$E$2:$E$131,0))</f>
        <v>Sales</v>
      </c>
      <c r="C16" s="8">
        <f>SUMIF(Raw_Dataset!$E$2:$E$131,A16,Raw_Dataset!$J$2:$J$131)</f>
        <v>323</v>
      </c>
      <c r="D16" s="8">
        <f>SUMIF(Raw_Dataset!$E$2:$E$131,A16,Raw_Dataset!$K$2:$K$131)</f>
        <v>302</v>
      </c>
      <c r="E16" s="8">
        <f>ROUND(AVERAGEIF(Raw_Dataset!$E$2:$E$131,A16,Raw_Dataset!$H$2:$H$131),1)</f>
        <v>10</v>
      </c>
      <c r="F16" s="8">
        <f>ROUND(AVERAGEIF(Raw_Dataset!$E$2:$E$131,A16,Raw_Dataset!$N$2:$N$131),1)</f>
        <v>3.3</v>
      </c>
      <c r="G16" s="8">
        <f>ROUND(AVERAGEIF(Raw_Dataset!$E$2:$E$131,A16,Raw_Dataset!$O$2:$O$131),1)</f>
        <v>3.3</v>
      </c>
      <c r="H16" s="8">
        <f t="shared" si="0"/>
        <v>16.600000000000001</v>
      </c>
      <c r="I16" s="8">
        <f>ROUND(SUMIF(Raw_Dataset!$E$2:$E$131,A16,Raw_Dataset!$P$2:$P$131),2)</f>
        <v>1318.48</v>
      </c>
      <c r="J16" s="8">
        <f t="shared" si="1"/>
        <v>4.08</v>
      </c>
      <c r="K16" s="8">
        <f>ROUND(SUMIF(Raw_Dataset!$E$2:$E$131,A16,Raw_Dataset!$L$2:$L$131)/C16*100,2)</f>
        <v>10.220000000000001</v>
      </c>
      <c r="L16" s="8">
        <f>ROUND(SUMIF(Raw_Dataset!$E$2:$E$131,A16,Raw_Dataset!$M$2:$M$131)/C16*100,2)</f>
        <v>1.24</v>
      </c>
      <c r="M16" s="8">
        <f>ROUND(COUNTIFS(Raw_Dataset!$E$2:$E$131,A16,Raw_Dataset!$R$2:$R$131,"Yes")/COUNTIF(Raw_Dataset!$E$2:$E$131,A16)*100,1)</f>
        <v>100</v>
      </c>
      <c r="N16" s="8">
        <f>ROUND(SUMIF(Raw_Dataset!$E$2:$E$131,A16,Raw_Dataset!$S$2:$S$131)/C16*100,2)</f>
        <v>6.5</v>
      </c>
      <c r="O16" s="8">
        <f t="shared" si="2"/>
        <v>93.5</v>
      </c>
    </row>
    <row r="17" spans="1:15" ht="15" customHeight="1" x14ac:dyDescent="0.3">
      <c r="A17" s="7" t="s">
        <v>88</v>
      </c>
      <c r="B17" s="7" t="str">
        <f>INDEX(Raw_Dataset!$C$2:$C$131,MATCH(A17,Raw_Dataset!$E$2:$E$131,0))</f>
        <v>Warehouse</v>
      </c>
      <c r="C17" s="8">
        <f>SUMIF(Raw_Dataset!$E$2:$E$131,A17,Raw_Dataset!$J$2:$J$131)</f>
        <v>701</v>
      </c>
      <c r="D17" s="8">
        <f>SUMIF(Raw_Dataset!$E$2:$E$131,A17,Raw_Dataset!$K$2:$K$131)</f>
        <v>660</v>
      </c>
      <c r="E17" s="8">
        <f>ROUND(AVERAGEIF(Raw_Dataset!$E$2:$E$131,A17,Raw_Dataset!$H$2:$H$131),1)</f>
        <v>11.3</v>
      </c>
      <c r="F17" s="8">
        <f>ROUND(AVERAGEIF(Raw_Dataset!$E$2:$E$131,A17,Raw_Dataset!$N$2:$N$131),1)</f>
        <v>8.4</v>
      </c>
      <c r="G17" s="8">
        <f>ROUND(AVERAGEIF(Raw_Dataset!$E$2:$E$131,A17,Raw_Dataset!$O$2:$O$131),1)</f>
        <v>2.6</v>
      </c>
      <c r="H17" s="8">
        <f t="shared" si="0"/>
        <v>22.3</v>
      </c>
      <c r="I17" s="8">
        <f>ROUND(SUMIF(Raw_Dataset!$E$2:$E$131,A17,Raw_Dataset!$P$2:$P$131),2)</f>
        <v>3891.65</v>
      </c>
      <c r="J17" s="8">
        <f t="shared" si="1"/>
        <v>5.55</v>
      </c>
      <c r="K17" s="8">
        <f>ROUND(SUMIF(Raw_Dataset!$E$2:$E$131,A17,Raw_Dataset!$L$2:$L$131)/C17*100,2)</f>
        <v>3.28</v>
      </c>
      <c r="L17" s="8">
        <f>ROUND(SUMIF(Raw_Dataset!$E$2:$E$131,A17,Raw_Dataset!$M$2:$M$131)/C17*100,2)</f>
        <v>11.13</v>
      </c>
      <c r="M17" s="8">
        <f>ROUND(COUNTIFS(Raw_Dataset!$E$2:$E$131,A17,Raw_Dataset!$R$2:$R$131,"Yes")/COUNTIF(Raw_Dataset!$E$2:$E$131,A17)*100,1)</f>
        <v>62.5</v>
      </c>
      <c r="N17" s="8">
        <f>ROUND(SUMIF(Raw_Dataset!$E$2:$E$131,A17,Raw_Dataset!$S$2:$S$131)/C17*100,2)</f>
        <v>1.85</v>
      </c>
      <c r="O17" s="8">
        <f t="shared" si="2"/>
        <v>94.2</v>
      </c>
    </row>
    <row r="18" spans="1:15" ht="15" customHeight="1" x14ac:dyDescent="0.3">
      <c r="A18" s="7" t="s">
        <v>353</v>
      </c>
      <c r="B18" s="7" t="str">
        <f>INDEX(Raw_Dataset!$C$2:$C$131,MATCH(A18,Raw_Dataset!$E$2:$E$131,0))</f>
        <v>Finance</v>
      </c>
      <c r="C18" s="8">
        <f>SUMIF(Raw_Dataset!$E$2:$E$131,A18,Raw_Dataset!$J$2:$J$131)</f>
        <v>835</v>
      </c>
      <c r="D18" s="8">
        <f>SUMIF(Raw_Dataset!$E$2:$E$131,A18,Raw_Dataset!$K$2:$K$131)</f>
        <v>793</v>
      </c>
      <c r="E18" s="8">
        <f>ROUND(AVERAGEIF(Raw_Dataset!$E$2:$E$131,A18,Raw_Dataset!$H$2:$H$131),1)</f>
        <v>17.3</v>
      </c>
      <c r="F18" s="8">
        <f>ROUND(AVERAGEIF(Raw_Dataset!$E$2:$E$131,A18,Raw_Dataset!$N$2:$N$131),1)</f>
        <v>3.4</v>
      </c>
      <c r="G18" s="8">
        <f>ROUND(AVERAGEIF(Raw_Dataset!$E$2:$E$131,A18,Raw_Dataset!$O$2:$O$131),1)</f>
        <v>0.4</v>
      </c>
      <c r="H18" s="8">
        <f t="shared" si="0"/>
        <v>21.1</v>
      </c>
      <c r="I18" s="8">
        <f>ROUND(SUMIF(Raw_Dataset!$E$2:$E$131,A18,Raw_Dataset!$P$2:$P$131),2)</f>
        <v>3776.89</v>
      </c>
      <c r="J18" s="8">
        <f t="shared" si="1"/>
        <v>4.5199999999999996</v>
      </c>
      <c r="K18" s="8">
        <f>ROUND(SUMIF(Raw_Dataset!$E$2:$E$131,A18,Raw_Dataset!$L$2:$L$131)/C18*100,2)</f>
        <v>11.74</v>
      </c>
      <c r="L18" s="8">
        <f>ROUND(SUMIF(Raw_Dataset!$E$2:$E$131,A18,Raw_Dataset!$M$2:$M$131)/C18*100,2)</f>
        <v>8.86</v>
      </c>
      <c r="M18" s="8">
        <f>ROUND(COUNTIFS(Raw_Dataset!$E$2:$E$131,A18,Raw_Dataset!$R$2:$R$131,"Yes")/COUNTIF(Raw_Dataset!$E$2:$E$131,A18)*100,1)</f>
        <v>85.7</v>
      </c>
      <c r="N18" s="8">
        <f>ROUND(SUMIF(Raw_Dataset!$E$2:$E$131,A18,Raw_Dataset!$S$2:$S$131)/C18*100,2)</f>
        <v>6.71</v>
      </c>
      <c r="O18" s="8">
        <f t="shared" si="2"/>
        <v>95</v>
      </c>
    </row>
    <row r="19" spans="1:15" ht="15" customHeight="1" x14ac:dyDescent="0.3">
      <c r="A19" s="7" t="s">
        <v>161</v>
      </c>
      <c r="B19" s="7" t="str">
        <f>INDEX(Raw_Dataset!$C$2:$C$131,MATCH(A19,Raw_Dataset!$E$2:$E$131,0))</f>
        <v>Finance</v>
      </c>
      <c r="C19" s="8">
        <f>SUMIF(Raw_Dataset!$E$2:$E$131,A19,Raw_Dataset!$J$2:$J$131)</f>
        <v>543</v>
      </c>
      <c r="D19" s="8">
        <f>SUMIF(Raw_Dataset!$E$2:$E$131,A19,Raw_Dataset!$K$2:$K$131)</f>
        <v>520</v>
      </c>
      <c r="E19" s="8">
        <f>ROUND(AVERAGEIF(Raw_Dataset!$E$2:$E$131,A19,Raw_Dataset!$H$2:$H$131),1)</f>
        <v>19.2</v>
      </c>
      <c r="F19" s="8">
        <f>ROUND(AVERAGEIF(Raw_Dataset!$E$2:$E$131,A19,Raw_Dataset!$N$2:$N$131),1)</f>
        <v>7</v>
      </c>
      <c r="G19" s="8">
        <f>ROUND(AVERAGEIF(Raw_Dataset!$E$2:$E$131,A19,Raw_Dataset!$O$2:$O$131),1)</f>
        <v>1.4</v>
      </c>
      <c r="H19" s="8">
        <f t="shared" si="0"/>
        <v>27.6</v>
      </c>
      <c r="I19" s="8">
        <f>ROUND(SUMIF(Raw_Dataset!$E$2:$E$131,A19,Raw_Dataset!$P$2:$P$131),2)</f>
        <v>3045.22</v>
      </c>
      <c r="J19" s="8">
        <f t="shared" si="1"/>
        <v>5.61</v>
      </c>
      <c r="K19" s="8">
        <f>ROUND(SUMIF(Raw_Dataset!$E$2:$E$131,A19,Raw_Dataset!$L$2:$L$131)/C19*100,2)</f>
        <v>12.52</v>
      </c>
      <c r="L19" s="8">
        <f>ROUND(SUMIF(Raw_Dataset!$E$2:$E$131,A19,Raw_Dataset!$M$2:$M$131)/C19*100,2)</f>
        <v>10.68</v>
      </c>
      <c r="M19" s="8">
        <f>ROUND(COUNTIFS(Raw_Dataset!$E$2:$E$131,A19,Raw_Dataset!$R$2:$R$131,"Yes")/COUNTIF(Raw_Dataset!$E$2:$E$131,A19)*100,1)</f>
        <v>80</v>
      </c>
      <c r="N19" s="8">
        <f>ROUND(SUMIF(Raw_Dataset!$E$2:$E$131,A19,Raw_Dataset!$S$2:$S$131)/C19*100,2)</f>
        <v>6.81</v>
      </c>
      <c r="O19" s="8">
        <f t="shared" si="2"/>
        <v>95.8</v>
      </c>
    </row>
    <row r="20" spans="1:15" ht="15" customHeight="1" x14ac:dyDescent="0.3">
      <c r="A20" s="7" t="s">
        <v>94</v>
      </c>
      <c r="B20" s="7" t="str">
        <f>INDEX(Raw_Dataset!$C$2:$C$131,MATCH(A20,Raw_Dataset!$E$2:$E$131,0))</f>
        <v>Warehouse</v>
      </c>
      <c r="C20" s="8">
        <f>SUMIF(Raw_Dataset!$E$2:$E$131,A20,Raw_Dataset!$J$2:$J$131)</f>
        <v>1289</v>
      </c>
      <c r="D20" s="8">
        <f>SUMIF(Raw_Dataset!$E$2:$E$131,A20,Raw_Dataset!$K$2:$K$131)</f>
        <v>1197</v>
      </c>
      <c r="E20" s="8">
        <f>ROUND(AVERAGEIF(Raw_Dataset!$E$2:$E$131,A20,Raw_Dataset!$H$2:$H$131),1)</f>
        <v>22.6</v>
      </c>
      <c r="F20" s="8">
        <f>ROUND(AVERAGEIF(Raw_Dataset!$E$2:$E$131,A20,Raw_Dataset!$N$2:$N$131),1)</f>
        <v>6.1</v>
      </c>
      <c r="G20" s="8">
        <f>ROUND(AVERAGEIF(Raw_Dataset!$E$2:$E$131,A20,Raw_Dataset!$O$2:$O$131),1)</f>
        <v>3.4</v>
      </c>
      <c r="H20" s="8">
        <f t="shared" si="0"/>
        <v>32.1</v>
      </c>
      <c r="I20" s="8">
        <f>ROUND(SUMIF(Raw_Dataset!$E$2:$E$131,A20,Raw_Dataset!$P$2:$P$131),2)</f>
        <v>8202.83</v>
      </c>
      <c r="J20" s="8">
        <f t="shared" si="1"/>
        <v>6.36</v>
      </c>
      <c r="K20" s="8">
        <f>ROUND(SUMIF(Raw_Dataset!$E$2:$E$131,A20,Raw_Dataset!$L$2:$L$131)/C20*100,2)</f>
        <v>12.49</v>
      </c>
      <c r="L20" s="8">
        <f>ROUND(SUMIF(Raw_Dataset!$E$2:$E$131,A20,Raw_Dataset!$M$2:$M$131)/C20*100,2)</f>
        <v>9.85</v>
      </c>
      <c r="M20" s="8">
        <f>ROUND(COUNTIFS(Raw_Dataset!$E$2:$E$131,A20,Raw_Dataset!$R$2:$R$131,"Yes")/COUNTIF(Raw_Dataset!$E$2:$E$131,A20)*100,1)</f>
        <v>70</v>
      </c>
      <c r="N20" s="8">
        <f>ROUND(SUMIF(Raw_Dataset!$E$2:$E$131,A20,Raw_Dataset!$S$2:$S$131)/C20*100,2)</f>
        <v>6.98</v>
      </c>
      <c r="O20" s="8">
        <f t="shared" si="2"/>
        <v>92.9</v>
      </c>
    </row>
    <row r="21" spans="1:15" ht="15" customHeight="1" x14ac:dyDescent="0.3">
      <c r="A21" s="7" t="s">
        <v>135</v>
      </c>
      <c r="B21" s="7" t="str">
        <f>INDEX(Raw_Dataset!$C$2:$C$131,MATCH(A21,Raw_Dataset!$E$2:$E$131,0))</f>
        <v>Warehouse</v>
      </c>
      <c r="C21" s="8">
        <f>SUMIF(Raw_Dataset!$E$2:$E$131,A21,Raw_Dataset!$J$2:$J$131)</f>
        <v>843</v>
      </c>
      <c r="D21" s="8">
        <f>SUMIF(Raw_Dataset!$E$2:$E$131,A21,Raw_Dataset!$K$2:$K$131)</f>
        <v>790</v>
      </c>
      <c r="E21" s="8">
        <f>ROUND(AVERAGEIF(Raw_Dataset!$E$2:$E$131,A21,Raw_Dataset!$H$2:$H$131),1)</f>
        <v>8</v>
      </c>
      <c r="F21" s="8">
        <f>ROUND(AVERAGEIF(Raw_Dataset!$E$2:$E$131,A21,Raw_Dataset!$N$2:$N$131),1)</f>
        <v>4.5999999999999996</v>
      </c>
      <c r="G21" s="8">
        <f>ROUND(AVERAGEIF(Raw_Dataset!$E$2:$E$131,A21,Raw_Dataset!$O$2:$O$131),1)</f>
        <v>3.4</v>
      </c>
      <c r="H21" s="8">
        <f t="shared" si="0"/>
        <v>16</v>
      </c>
      <c r="I21" s="8">
        <f>ROUND(SUMIF(Raw_Dataset!$E$2:$E$131,A21,Raw_Dataset!$P$2:$P$131),2)</f>
        <v>4129.1899999999996</v>
      </c>
      <c r="J21" s="8">
        <f t="shared" si="1"/>
        <v>4.9000000000000004</v>
      </c>
      <c r="K21" s="8">
        <f>ROUND(SUMIF(Raw_Dataset!$E$2:$E$131,A21,Raw_Dataset!$L$2:$L$131)/C21*100,2)</f>
        <v>12.22</v>
      </c>
      <c r="L21" s="8">
        <f>ROUND(SUMIF(Raw_Dataset!$E$2:$E$131,A21,Raw_Dataset!$M$2:$M$131)/C21*100,2)</f>
        <v>9.25</v>
      </c>
      <c r="M21" s="8">
        <f>ROUND(COUNTIFS(Raw_Dataset!$E$2:$E$131,A21,Raw_Dataset!$R$2:$R$131,"Yes")/COUNTIF(Raw_Dataset!$E$2:$E$131,A21)*100,1)</f>
        <v>71.400000000000006</v>
      </c>
      <c r="N21" s="8">
        <f>ROUND(SUMIF(Raw_Dataset!$E$2:$E$131,A21,Raw_Dataset!$S$2:$S$131)/C21*100,2)</f>
        <v>5.22</v>
      </c>
      <c r="O21" s="8">
        <f t="shared" si="2"/>
        <v>93.7</v>
      </c>
    </row>
    <row r="22" spans="1:15" ht="15" customHeight="1" x14ac:dyDescent="0.3">
      <c r="A22" s="7" t="s">
        <v>297</v>
      </c>
      <c r="B22" s="7" t="str">
        <f>INDEX(Raw_Dataset!$C$2:$C$131,MATCH(A22,Raw_Dataset!$E$2:$E$131,0))</f>
        <v>Finance</v>
      </c>
      <c r="C22" s="8">
        <f>SUMIF(Raw_Dataset!$E$2:$E$131,A22,Raw_Dataset!$J$2:$J$131)</f>
        <v>412</v>
      </c>
      <c r="D22" s="8">
        <f>SUMIF(Raw_Dataset!$E$2:$E$131,A22,Raw_Dataset!$K$2:$K$131)</f>
        <v>375</v>
      </c>
      <c r="E22" s="8">
        <f>ROUND(AVERAGEIF(Raw_Dataset!$E$2:$E$131,A22,Raw_Dataset!$H$2:$H$131),1)</f>
        <v>17</v>
      </c>
      <c r="F22" s="8">
        <f>ROUND(AVERAGEIF(Raw_Dataset!$E$2:$E$131,A22,Raw_Dataset!$N$2:$N$131),1)</f>
        <v>22.2</v>
      </c>
      <c r="G22" s="8">
        <f>ROUND(AVERAGEIF(Raw_Dataset!$E$2:$E$131,A22,Raw_Dataset!$O$2:$O$131),1)</f>
        <v>21.5</v>
      </c>
      <c r="H22" s="8">
        <f t="shared" si="0"/>
        <v>60.7</v>
      </c>
      <c r="I22" s="8">
        <f>ROUND(SUMIF(Raw_Dataset!$E$2:$E$131,A22,Raw_Dataset!$P$2:$P$131),2)</f>
        <v>2287.0300000000002</v>
      </c>
      <c r="J22" s="8">
        <f t="shared" si="1"/>
        <v>5.55</v>
      </c>
      <c r="K22" s="8">
        <f>ROUND(SUMIF(Raw_Dataset!$E$2:$E$131,A22,Raw_Dataset!$L$2:$L$131)/C22*100,2)</f>
        <v>2.67</v>
      </c>
      <c r="L22" s="8">
        <f>ROUND(SUMIF(Raw_Dataset!$E$2:$E$131,A22,Raw_Dataset!$M$2:$M$131)/C22*100,2)</f>
        <v>8.98</v>
      </c>
      <c r="M22" s="8">
        <f>ROUND(COUNTIFS(Raw_Dataset!$E$2:$E$131,A22,Raw_Dataset!$R$2:$R$131,"Yes")/COUNTIF(Raw_Dataset!$E$2:$E$131,A22)*100,1)</f>
        <v>0</v>
      </c>
      <c r="N22" s="8">
        <f>ROUND(SUMIF(Raw_Dataset!$E$2:$E$131,A22,Raw_Dataset!$S$2:$S$131)/C22*100,2)</f>
        <v>6.07</v>
      </c>
      <c r="O22" s="8">
        <f t="shared" si="2"/>
        <v>91</v>
      </c>
    </row>
    <row r="23" spans="1:15" ht="15" customHeight="1" x14ac:dyDescent="0.3">
      <c r="A23" s="7" t="s">
        <v>130</v>
      </c>
      <c r="B23" s="7" t="str">
        <f>INDEX(Raw_Dataset!$C$2:$C$131,MATCH(A23,Raw_Dataset!$E$2:$E$131,0))</f>
        <v>Customer Service</v>
      </c>
      <c r="C23" s="8">
        <f>SUMIF(Raw_Dataset!$E$2:$E$131,A23,Raw_Dataset!$J$2:$J$131)</f>
        <v>651</v>
      </c>
      <c r="D23" s="8">
        <f>SUMIF(Raw_Dataset!$E$2:$E$131,A23,Raw_Dataset!$K$2:$K$131)</f>
        <v>613</v>
      </c>
      <c r="E23" s="8">
        <f>ROUND(AVERAGEIF(Raw_Dataset!$E$2:$E$131,A23,Raw_Dataset!$H$2:$H$131),1)</f>
        <v>36.700000000000003</v>
      </c>
      <c r="F23" s="8">
        <f>ROUND(AVERAGEIF(Raw_Dataset!$E$2:$E$131,A23,Raw_Dataset!$N$2:$N$131),1)</f>
        <v>27.5</v>
      </c>
      <c r="G23" s="8">
        <f>ROUND(AVERAGEIF(Raw_Dataset!$E$2:$E$131,A23,Raw_Dataset!$O$2:$O$131),1)</f>
        <v>5.2</v>
      </c>
      <c r="H23" s="8">
        <f t="shared" si="0"/>
        <v>69.400000000000006</v>
      </c>
      <c r="I23" s="8">
        <f>ROUND(SUMIF(Raw_Dataset!$E$2:$E$131,A23,Raw_Dataset!$P$2:$P$131),2)</f>
        <v>5086.38</v>
      </c>
      <c r="J23" s="8">
        <f t="shared" si="1"/>
        <v>7.81</v>
      </c>
      <c r="K23" s="8">
        <f>ROUND(SUMIF(Raw_Dataset!$E$2:$E$131,A23,Raw_Dataset!$L$2:$L$131)/C23*100,2)</f>
        <v>11.21</v>
      </c>
      <c r="L23" s="8">
        <f>ROUND(SUMIF(Raw_Dataset!$E$2:$E$131,A23,Raw_Dataset!$M$2:$M$131)/C23*100,2)</f>
        <v>10.91</v>
      </c>
      <c r="M23" s="8">
        <f>ROUND(COUNTIFS(Raw_Dataset!$E$2:$E$131,A23,Raw_Dataset!$R$2:$R$131,"Yes")/COUNTIF(Raw_Dataset!$E$2:$E$131,A23)*100,1)</f>
        <v>33.299999999999997</v>
      </c>
      <c r="N23" s="8">
        <f>ROUND(SUMIF(Raw_Dataset!$E$2:$E$131,A23,Raw_Dataset!$S$2:$S$131)/C23*100,2)</f>
        <v>5.53</v>
      </c>
      <c r="O23" s="8">
        <f t="shared" si="2"/>
        <v>94.2</v>
      </c>
    </row>
    <row r="25" spans="1:15" ht="15" customHeight="1" x14ac:dyDescent="0.3">
      <c r="A25" s="9" t="s">
        <v>539</v>
      </c>
      <c r="B25" s="9"/>
      <c r="C25" s="10">
        <f>SUM(C5:C23)</f>
        <v>14568</v>
      </c>
      <c r="D25" s="10">
        <f>SUM(D5:D23)</f>
        <v>13573</v>
      </c>
      <c r="E25" s="10">
        <f>ROUND(AVERAGE(E5:E23),1)</f>
        <v>18.3</v>
      </c>
      <c r="F25" s="10">
        <f>ROUND(AVERAGE(F5:F23),1)</f>
        <v>13.3</v>
      </c>
      <c r="G25" s="10">
        <f>ROUND(AVERAGE(G5:G23),1)</f>
        <v>6</v>
      </c>
      <c r="H25" s="10">
        <f>ROUND(AVERAGE(H5:H23),1)</f>
        <v>37.6</v>
      </c>
      <c r="I25" s="10">
        <f>ROUND(SUM(I5:I23),2)</f>
        <v>74660.58</v>
      </c>
      <c r="J25" s="10">
        <f>ROUND(I25/C25,2)</f>
        <v>5.12</v>
      </c>
      <c r="K25" s="10">
        <f>ROUND(AVERAGE(K5:K23),2)</f>
        <v>7.12</v>
      </c>
      <c r="L25" s="10">
        <f>ROUND(AVERAGE(L5:L23),2)</f>
        <v>6.09</v>
      </c>
      <c r="M25" s="10">
        <f>ROUND(AVERAGE(M5:M23),1)</f>
        <v>48.8</v>
      </c>
      <c r="N25" s="10">
        <f>ROUND(AVERAGE(N5:N23),2)</f>
        <v>5.43</v>
      </c>
      <c r="O25" s="10">
        <f>ROUND(D25/C25*100,1)</f>
        <v>93.2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showGridLines="0" zoomScaleNormal="100" workbookViewId="0">
      <pane ySplit="4" topLeftCell="A5" activePane="bottomLeft" state="frozen"/>
      <selection pane="bottomLeft" sqref="A1:K1"/>
    </sheetView>
  </sheetViews>
  <sheetFormatPr defaultColWidth="8.6640625" defaultRowHeight="14.4" x14ac:dyDescent="0.3"/>
  <cols>
    <col min="1" max="1" width="20" customWidth="1"/>
    <col min="2" max="2" width="12" customWidth="1"/>
    <col min="3" max="3" width="17" customWidth="1"/>
    <col min="4" max="4" width="18" customWidth="1"/>
    <col min="5" max="5" width="15" customWidth="1"/>
    <col min="6" max="7" width="12" customWidth="1"/>
    <col min="8" max="8" width="15" customWidth="1"/>
    <col min="9" max="9" width="14" customWidth="1"/>
    <col min="10" max="10" width="18" customWidth="1"/>
    <col min="11" max="11" width="13" customWidth="1"/>
  </cols>
  <sheetData>
    <row r="1" spans="1:11" ht="19.5" customHeight="1" x14ac:dyDescent="0.4">
      <c r="A1" s="30" t="s">
        <v>540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5" customHeight="1" x14ac:dyDescent="0.3">
      <c r="A2" s="31" t="s">
        <v>541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1" ht="41.25" customHeight="1" x14ac:dyDescent="0.3">
      <c r="A4" s="6" t="s">
        <v>48</v>
      </c>
      <c r="B4" s="6" t="s">
        <v>527</v>
      </c>
      <c r="C4" s="6" t="s">
        <v>528</v>
      </c>
      <c r="D4" s="6" t="s">
        <v>529</v>
      </c>
      <c r="E4" s="6" t="s">
        <v>542</v>
      </c>
      <c r="F4" s="6" t="s">
        <v>534</v>
      </c>
      <c r="G4" s="6" t="s">
        <v>535</v>
      </c>
      <c r="H4" s="6" t="s">
        <v>536</v>
      </c>
      <c r="I4" s="6" t="s">
        <v>537</v>
      </c>
      <c r="J4" s="6" t="s">
        <v>543</v>
      </c>
      <c r="K4" s="6" t="s">
        <v>538</v>
      </c>
    </row>
    <row r="5" spans="1:11" ht="15" customHeight="1" x14ac:dyDescent="0.3">
      <c r="A5" s="7" t="s">
        <v>37</v>
      </c>
      <c r="B5" s="8">
        <f>SUMIF(Raw_Dataset!$C$2:$C$131,A5,Raw_Dataset!$J$2:$J$131)</f>
        <v>2279</v>
      </c>
      <c r="C5" s="8">
        <f>ROUND(AVERAGEIF(Raw_Dataset!$C$2:$C$131,A5,Raw_Dataset!$H$2:$H$131),1)</f>
        <v>19.2</v>
      </c>
      <c r="D5" s="8">
        <f>ROUND(AVERAGEIF(Raw_Dataset!$C$2:$C$131,A5,Raw_Dataset!$N$2:$N$131),1)</f>
        <v>26.8</v>
      </c>
      <c r="E5" s="8">
        <f>ROUND(SUMIF(Raw_Dataset!$C$2:$C$131,A5,Raw_Dataset!$P$2:$P$131),2)</f>
        <v>11196.8</v>
      </c>
      <c r="F5" s="8">
        <f>ROUND(SUMIF(Raw_Dataset!$C$2:$C$131,A5,Raw_Dataset!$L$2:$L$131)/B5*100,2)</f>
        <v>5.22</v>
      </c>
      <c r="G5" s="8">
        <f>ROUND(SUMIF(Raw_Dataset!$C$2:$C$131,A5,Raw_Dataset!$M$2:$M$131)/B5*100,2)</f>
        <v>8.34</v>
      </c>
      <c r="H5" s="8">
        <f>ROUND(COUNTIFS(Raw_Dataset!$C$2:$C$131,A5,Raw_Dataset!$R$2:$R$131,"Yes")/COUNTIF(Raw_Dataset!$C$2:$C$131,A5)*100,1)</f>
        <v>28.6</v>
      </c>
      <c r="I5" s="8">
        <f>ROUND(SUMIF(Raw_Dataset!$C$2:$C$131,A5,Raw_Dataset!$S$2:$S$131)/B5*100,2)</f>
        <v>4.7</v>
      </c>
      <c r="J5" s="8">
        <f>COUNTIFS(Raw_Dataset!$C$2:$C$131,A5,Raw_Dataset!$T$2:$T$131,"Delayed")+COUNTIFS(Raw_Dataset!$C$2:$C$131,A5,Raw_Dataset!$T$2:$T$131,"Escalated")</f>
        <v>1</v>
      </c>
      <c r="K5" s="8">
        <f>ROUND(SUMIF(Raw_Dataset!$C$2:$C$131,A5,Raw_Dataset!$K$2:$K$131)/B5*100,1)</f>
        <v>92.8</v>
      </c>
    </row>
    <row r="6" spans="1:11" ht="15" customHeight="1" x14ac:dyDescent="0.3">
      <c r="A6" s="7" t="s">
        <v>28</v>
      </c>
      <c r="B6" s="8">
        <f>SUMIF(Raw_Dataset!$C$2:$C$131,A6,Raw_Dataset!$J$2:$J$131)</f>
        <v>4466</v>
      </c>
      <c r="C6" s="8">
        <f>ROUND(AVERAGEIF(Raw_Dataset!$C$2:$C$131,A6,Raw_Dataset!$H$2:$H$131),1)</f>
        <v>18.8</v>
      </c>
      <c r="D6" s="8">
        <f>ROUND(AVERAGEIF(Raw_Dataset!$C$2:$C$131,A6,Raw_Dataset!$N$2:$N$131),1)</f>
        <v>11.8</v>
      </c>
      <c r="E6" s="8">
        <f>ROUND(SUMIF(Raw_Dataset!$C$2:$C$131,A6,Raw_Dataset!$P$2:$P$131),2)</f>
        <v>19454.45</v>
      </c>
      <c r="F6" s="8">
        <f>ROUND(SUMIF(Raw_Dataset!$C$2:$C$131,A6,Raw_Dataset!$L$2:$L$131)/B6*100,2)</f>
        <v>8.08</v>
      </c>
      <c r="G6" s="8">
        <f>ROUND(SUMIF(Raw_Dataset!$C$2:$C$131,A6,Raw_Dataset!$M$2:$M$131)/B6*100,2)</f>
        <v>6.92</v>
      </c>
      <c r="H6" s="8">
        <f>ROUND(COUNTIFS(Raw_Dataset!$C$2:$C$131,A6,Raw_Dataset!$R$2:$R$131,"Yes")/COUNTIF(Raw_Dataset!$C$2:$C$131,A6)*100,1)</f>
        <v>36.6</v>
      </c>
      <c r="I6" s="8">
        <f>ROUND(SUMIF(Raw_Dataset!$C$2:$C$131,A6,Raw_Dataset!$S$2:$S$131)/B6*100,2)</f>
        <v>6.34</v>
      </c>
      <c r="J6" s="8">
        <f>COUNTIFS(Raw_Dataset!$C$2:$C$131,A6,Raw_Dataset!$T$2:$T$131,"Delayed")+COUNTIFS(Raw_Dataset!$C$2:$C$131,A6,Raw_Dataset!$T$2:$T$131,"Escalated")</f>
        <v>8</v>
      </c>
      <c r="K6" s="8">
        <f>ROUND(SUMIF(Raw_Dataset!$C$2:$C$131,A6,Raw_Dataset!$K$2:$K$131)/B6*100,1)</f>
        <v>93.2</v>
      </c>
    </row>
    <row r="7" spans="1:11" ht="15" customHeight="1" x14ac:dyDescent="0.3">
      <c r="A7" s="7" t="s">
        <v>40</v>
      </c>
      <c r="B7" s="8">
        <f>SUMIF(Raw_Dataset!$C$2:$C$131,A7,Raw_Dataset!$J$2:$J$131)</f>
        <v>3172</v>
      </c>
      <c r="C7" s="8">
        <f>ROUND(AVERAGEIF(Raw_Dataset!$C$2:$C$131,A7,Raw_Dataset!$H$2:$H$131),1)</f>
        <v>35.200000000000003</v>
      </c>
      <c r="D7" s="8">
        <f>ROUND(AVERAGEIF(Raw_Dataset!$C$2:$C$131,A7,Raw_Dataset!$N$2:$N$131),1)</f>
        <v>21.2</v>
      </c>
      <c r="E7" s="8">
        <f>ROUND(SUMIF(Raw_Dataset!$C$2:$C$131,A7,Raw_Dataset!$P$2:$P$131),2)</f>
        <v>20593.87</v>
      </c>
      <c r="F7" s="8">
        <f>ROUND(SUMIF(Raw_Dataset!$C$2:$C$131,A7,Raw_Dataset!$L$2:$L$131)/B7*100,2)</f>
        <v>5.55</v>
      </c>
      <c r="G7" s="8">
        <f>ROUND(SUMIF(Raw_Dataset!$C$2:$C$131,A7,Raw_Dataset!$M$2:$M$131)/B7*100,2)</f>
        <v>1.86</v>
      </c>
      <c r="H7" s="8">
        <f>ROUND(COUNTIFS(Raw_Dataset!$C$2:$C$131,A7,Raw_Dataset!$R$2:$R$131,"Yes")/COUNTIF(Raw_Dataset!$C$2:$C$131,A7)*100,1)</f>
        <v>26.9</v>
      </c>
      <c r="I7" s="8">
        <f>ROUND(SUMIF(Raw_Dataset!$C$2:$C$131,A7,Raw_Dataset!$S$2:$S$131)/B7*100,2)</f>
        <v>5.93</v>
      </c>
      <c r="J7" s="8">
        <f>COUNTIFS(Raw_Dataset!$C$2:$C$131,A7,Raw_Dataset!$T$2:$T$131,"Delayed")+COUNTIFS(Raw_Dataset!$C$2:$C$131,A7,Raw_Dataset!$T$2:$T$131,"Escalated")</f>
        <v>11</v>
      </c>
      <c r="K7" s="8">
        <f>ROUND(SUMIF(Raw_Dataset!$C$2:$C$131,A7,Raw_Dataset!$K$2:$K$131)/B7*100,1)</f>
        <v>92.7</v>
      </c>
    </row>
    <row r="8" spans="1:11" ht="15" customHeight="1" x14ac:dyDescent="0.3">
      <c r="A8" s="7" t="s">
        <v>140</v>
      </c>
      <c r="B8" s="8">
        <f>SUMIF(Raw_Dataset!$C$2:$C$131,A8,Raw_Dataset!$J$2:$J$131)</f>
        <v>1231</v>
      </c>
      <c r="C8" s="8">
        <f>ROUND(AVERAGEIF(Raw_Dataset!$C$2:$C$131,A8,Raw_Dataset!$H$2:$H$131),1)</f>
        <v>14.2</v>
      </c>
      <c r="D8" s="8">
        <f>ROUND(AVERAGEIF(Raw_Dataset!$C$2:$C$131,A8,Raw_Dataset!$N$2:$N$131),1)</f>
        <v>10.4</v>
      </c>
      <c r="E8" s="8">
        <f>ROUND(SUMIF(Raw_Dataset!$C$2:$C$131,A8,Raw_Dataset!$P$2:$P$131),2)</f>
        <v>4328.28</v>
      </c>
      <c r="F8" s="8">
        <f>ROUND(SUMIF(Raw_Dataset!$C$2:$C$131,A8,Raw_Dataset!$L$2:$L$131)/B8*100,2)</f>
        <v>4.79</v>
      </c>
      <c r="G8" s="8">
        <f>ROUND(SUMIF(Raw_Dataset!$C$2:$C$131,A8,Raw_Dataset!$M$2:$M$131)/B8*100,2)</f>
        <v>2.0299999999999998</v>
      </c>
      <c r="H8" s="8">
        <f>ROUND(COUNTIFS(Raw_Dataset!$C$2:$C$131,A8,Raw_Dataset!$R$2:$R$131,"Yes")/COUNTIF(Raw_Dataset!$C$2:$C$131,A8)*100,1)</f>
        <v>63.6</v>
      </c>
      <c r="I8" s="8">
        <f>ROUND(SUMIF(Raw_Dataset!$C$2:$C$131,A8,Raw_Dataset!$S$2:$S$131)/B8*100,2)</f>
        <v>3.9</v>
      </c>
      <c r="J8" s="8">
        <f>COUNTIFS(Raw_Dataset!$C$2:$C$131,A8,Raw_Dataset!$T$2:$T$131,"Delayed")+COUNTIFS(Raw_Dataset!$C$2:$C$131,A8,Raw_Dataset!$T$2:$T$131,"Escalated")</f>
        <v>3</v>
      </c>
      <c r="K8" s="8">
        <f>ROUND(SUMIF(Raw_Dataset!$C$2:$C$131,A8,Raw_Dataset!$K$2:$K$131)/B8*100,1)</f>
        <v>93.7</v>
      </c>
    </row>
    <row r="9" spans="1:11" ht="15" customHeight="1" x14ac:dyDescent="0.3">
      <c r="A9" s="7" t="s">
        <v>33</v>
      </c>
      <c r="B9" s="8">
        <f>SUMIF(Raw_Dataset!$C$2:$C$131,A9,Raw_Dataset!$J$2:$J$131)</f>
        <v>3420</v>
      </c>
      <c r="C9" s="8">
        <f>ROUND(AVERAGEIF(Raw_Dataset!$C$2:$C$131,A9,Raw_Dataset!$H$2:$H$131),1)</f>
        <v>14.7</v>
      </c>
      <c r="D9" s="8">
        <f>ROUND(AVERAGEIF(Raw_Dataset!$C$2:$C$131,A9,Raw_Dataset!$N$2:$N$131),1)</f>
        <v>6.2</v>
      </c>
      <c r="E9" s="8">
        <f>ROUND(SUMIF(Raw_Dataset!$C$2:$C$131,A9,Raw_Dataset!$P$2:$P$131),2)</f>
        <v>19087.18</v>
      </c>
      <c r="F9" s="8">
        <f>ROUND(SUMIF(Raw_Dataset!$C$2:$C$131,A9,Raw_Dataset!$L$2:$L$131)/B9*100,2)</f>
        <v>10.41</v>
      </c>
      <c r="G9" s="8">
        <f>ROUND(SUMIF(Raw_Dataset!$C$2:$C$131,A9,Raw_Dataset!$M$2:$M$131)/B9*100,2)</f>
        <v>9.8800000000000008</v>
      </c>
      <c r="H9" s="8">
        <f>ROUND(COUNTIFS(Raw_Dataset!$C$2:$C$131,A9,Raw_Dataset!$R$2:$R$131,"Yes")/COUNTIF(Raw_Dataset!$C$2:$C$131,A9)*100,1)</f>
        <v>71</v>
      </c>
      <c r="I9" s="8">
        <f>ROUND(SUMIF(Raw_Dataset!$C$2:$C$131,A9,Raw_Dataset!$S$2:$S$131)/B9*100,2)</f>
        <v>5.47</v>
      </c>
      <c r="J9" s="8">
        <f>COUNTIFS(Raw_Dataset!$C$2:$C$131,A9,Raw_Dataset!$T$2:$T$131,"Delayed")+COUNTIFS(Raw_Dataset!$C$2:$C$131,A9,Raw_Dataset!$T$2:$T$131,"Escalated")</f>
        <v>7</v>
      </c>
      <c r="K9" s="8">
        <f>ROUND(SUMIF(Raw_Dataset!$C$2:$C$131,A9,Raw_Dataset!$K$2:$K$131)/B9*100,1)</f>
        <v>93.6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showGridLines="0" zoomScaleNormal="100" workbookViewId="0">
      <pane ySplit="4" topLeftCell="A5" activePane="bottomLeft" state="frozen"/>
      <selection pane="bottomLeft" sqref="A1:K1"/>
    </sheetView>
  </sheetViews>
  <sheetFormatPr defaultColWidth="8.6640625" defaultRowHeight="14.4" x14ac:dyDescent="0.3"/>
  <cols>
    <col min="1" max="1" width="6" customWidth="1"/>
    <col min="2" max="2" width="24" customWidth="1"/>
    <col min="3" max="3" width="16" customWidth="1"/>
    <col min="4" max="4" width="13" customWidth="1"/>
    <col min="5" max="6" width="12" customWidth="1"/>
    <col min="7" max="7" width="11" customWidth="1"/>
    <col min="8" max="8" width="14" customWidth="1"/>
    <col min="9" max="9" width="38" customWidth="1"/>
    <col min="10" max="10" width="42" customWidth="1"/>
  </cols>
  <sheetData>
    <row r="1" spans="1:11" ht="19.5" customHeight="1" x14ac:dyDescent="0.4">
      <c r="A1" s="30" t="s">
        <v>544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5" customHeight="1" x14ac:dyDescent="0.3">
      <c r="A2" s="31" t="s">
        <v>545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1" ht="27.75" customHeight="1" x14ac:dyDescent="0.3">
      <c r="A4" s="6" t="s">
        <v>546</v>
      </c>
      <c r="B4" s="6" t="s">
        <v>50</v>
      </c>
      <c r="C4" s="6" t="s">
        <v>531</v>
      </c>
      <c r="D4" s="6" t="s">
        <v>542</v>
      </c>
      <c r="E4" s="6" t="s">
        <v>534</v>
      </c>
      <c r="F4" s="6" t="s">
        <v>535</v>
      </c>
      <c r="G4" s="6" t="s">
        <v>547</v>
      </c>
      <c r="H4" s="6" t="s">
        <v>548</v>
      </c>
      <c r="I4" s="6" t="s">
        <v>549</v>
      </c>
      <c r="J4" s="6" t="s">
        <v>66</v>
      </c>
    </row>
    <row r="5" spans="1:11" ht="30" customHeight="1" x14ac:dyDescent="0.3">
      <c r="A5" s="1">
        <v>1</v>
      </c>
      <c r="B5" s="2" t="s">
        <v>130</v>
      </c>
      <c r="C5" s="1">
        <f>ROUND(AVERAGEIF(Raw_Dataset!$E$2:$E$131,B5,Raw_Dataset!$H$2:$H$131)+AVERAGEIF(Raw_Dataset!$E$2:$E$131,B5,Raw_Dataset!$N$2:$N$131)+AVERAGEIF(Raw_Dataset!$E$2:$E$131,B5,Raw_Dataset!$O$2:$O$131),1)</f>
        <v>69.3</v>
      </c>
      <c r="D5" s="1">
        <f>ROUND(SUMIF(Raw_Dataset!$E$2:$E$131,B5,Raw_Dataset!$P$2:$P$131),2)</f>
        <v>5086.38</v>
      </c>
      <c r="E5" s="1">
        <f>ROUND(SUMIF(Raw_Dataset!$E$2:$E$131,B5,Raw_Dataset!$L$2:$L$131)/SUMIF(Raw_Dataset!$E$2:$E$131,B5,Raw_Dataset!$J$2:$J$131)*100,2)</f>
        <v>11.21</v>
      </c>
      <c r="F5" s="1">
        <f>ROUND(SUMIF(Raw_Dataset!$E$2:$E$131,B5,Raw_Dataset!$M$2:$M$131)/SUMIF(Raw_Dataset!$E$2:$E$131,B5,Raw_Dataset!$J$2:$J$131)*100,2)</f>
        <v>10.91</v>
      </c>
      <c r="G5" s="1">
        <f>SUMIF(Raw_Dataset!$E$2:$E$131,B5,Raw_Dataset!$J$2:$J$131)</f>
        <v>651</v>
      </c>
      <c r="H5" s="1" t="str">
        <f t="shared" ref="H5:H23" si="0">IF(A5&lt;=5,"High Priority",IF(A5&lt;=12,"Medium Priority","Low Priority"))</f>
        <v>High Priority</v>
      </c>
      <c r="I5" s="11" t="s">
        <v>550</v>
      </c>
      <c r="J5" s="11" t="str">
        <f>INDEX(Raw_Dataset!$U$2:$U$131,MATCH(B5,Raw_Dataset!$E$2:$E$131,0))</f>
        <v>Simplify returns workflow with self-service return portal</v>
      </c>
    </row>
    <row r="6" spans="1:11" ht="30" customHeight="1" x14ac:dyDescent="0.3">
      <c r="A6" s="1">
        <v>2</v>
      </c>
      <c r="B6" s="2" t="s">
        <v>155</v>
      </c>
      <c r="C6" s="1">
        <f>ROUND(AVERAGEIF(Raw_Dataset!$E$2:$E$131,B6,Raw_Dataset!$H$2:$H$131)+AVERAGEIF(Raw_Dataset!$E$2:$E$131,B6,Raw_Dataset!$N$2:$N$131)+AVERAGEIF(Raw_Dataset!$E$2:$E$131,B6,Raw_Dataset!$O$2:$O$131),1)</f>
        <v>89.4</v>
      </c>
      <c r="D6" s="1">
        <f>ROUND(SUMIF(Raw_Dataset!$E$2:$E$131,B6,Raw_Dataset!$P$2:$P$131),2)</f>
        <v>14783.45</v>
      </c>
      <c r="E6" s="1">
        <f>ROUND(SUMIF(Raw_Dataset!$E$2:$E$131,B6,Raw_Dataset!$L$2:$L$131)/SUMIF(Raw_Dataset!$E$2:$E$131,B6,Raw_Dataset!$J$2:$J$131)*100,2)</f>
        <v>3.39</v>
      </c>
      <c r="F6" s="1">
        <f>ROUND(SUMIF(Raw_Dataset!$E$2:$E$131,B6,Raw_Dataset!$M$2:$M$131)/SUMIF(Raw_Dataset!$E$2:$E$131,B6,Raw_Dataset!$J$2:$J$131)*100,2)</f>
        <v>1.84</v>
      </c>
      <c r="G6" s="1">
        <f>SUMIF(Raw_Dataset!$E$2:$E$131,B6,Raw_Dataset!$J$2:$J$131)</f>
        <v>1797</v>
      </c>
      <c r="H6" s="1" t="str">
        <f t="shared" si="0"/>
        <v>High Priority</v>
      </c>
      <c r="I6" s="11" t="s">
        <v>551</v>
      </c>
      <c r="J6" s="11" t="str">
        <f>INDEX(Raw_Dataset!$U$2:$U$131,MATCH(B6,Raw_Dataset!$E$2:$E$131,0))</f>
        <v>Negotiate fixed pickup windows with courier partners</v>
      </c>
    </row>
    <row r="7" spans="1:11" ht="30" customHeight="1" x14ac:dyDescent="0.3">
      <c r="A7" s="1">
        <v>3</v>
      </c>
      <c r="B7" s="2" t="s">
        <v>94</v>
      </c>
      <c r="C7" s="1">
        <f>ROUND(AVERAGEIF(Raw_Dataset!$E$2:$E$131,B7,Raw_Dataset!$H$2:$H$131)+AVERAGEIF(Raw_Dataset!$E$2:$E$131,B7,Raw_Dataset!$N$2:$N$131)+AVERAGEIF(Raw_Dataset!$E$2:$E$131,B7,Raw_Dataset!$O$2:$O$131),1)</f>
        <v>32.1</v>
      </c>
      <c r="D7" s="1">
        <f>ROUND(SUMIF(Raw_Dataset!$E$2:$E$131,B7,Raw_Dataset!$P$2:$P$131),2)</f>
        <v>8202.83</v>
      </c>
      <c r="E7" s="1">
        <f>ROUND(SUMIF(Raw_Dataset!$E$2:$E$131,B7,Raw_Dataset!$L$2:$L$131)/SUMIF(Raw_Dataset!$E$2:$E$131,B7,Raw_Dataset!$J$2:$J$131)*100,2)</f>
        <v>12.49</v>
      </c>
      <c r="F7" s="1">
        <f>ROUND(SUMIF(Raw_Dataset!$E$2:$E$131,B7,Raw_Dataset!$M$2:$M$131)/SUMIF(Raw_Dataset!$E$2:$E$131,B7,Raw_Dataset!$J$2:$J$131)*100,2)</f>
        <v>9.85</v>
      </c>
      <c r="G7" s="1">
        <f>SUMIF(Raw_Dataset!$E$2:$E$131,B7,Raw_Dataset!$J$2:$J$131)</f>
        <v>1289</v>
      </c>
      <c r="H7" s="1" t="str">
        <f t="shared" si="0"/>
        <v>High Priority</v>
      </c>
      <c r="I7" s="11" t="s">
        <v>552</v>
      </c>
      <c r="J7" s="11" t="str">
        <f>INDEX(Raw_Dataset!$U$2:$U$131,MATCH(B7,Raw_Dataset!$E$2:$E$131,0))</f>
        <v>Deploy barcode/RFID-guided picking to reduce errors and rework</v>
      </c>
    </row>
    <row r="8" spans="1:11" ht="30" customHeight="1" x14ac:dyDescent="0.3">
      <c r="A8" s="1">
        <v>4</v>
      </c>
      <c r="B8" s="2" t="s">
        <v>79</v>
      </c>
      <c r="C8" s="1">
        <f>ROUND(AVERAGEIF(Raw_Dataset!$E$2:$E$131,B8,Raw_Dataset!$H$2:$H$131)+AVERAGEIF(Raw_Dataset!$E$2:$E$131,B8,Raw_Dataset!$N$2:$N$131)+AVERAGEIF(Raw_Dataset!$E$2:$E$131,B8,Raw_Dataset!$O$2:$O$131),1)</f>
        <v>55.1</v>
      </c>
      <c r="D8" s="1">
        <f>ROUND(SUMIF(Raw_Dataset!$E$2:$E$131,B8,Raw_Dataset!$P$2:$P$131),2)</f>
        <v>4648.0200000000004</v>
      </c>
      <c r="E8" s="1">
        <f>ROUND(SUMIF(Raw_Dataset!$E$2:$E$131,B8,Raw_Dataset!$L$2:$L$131)/SUMIF(Raw_Dataset!$E$2:$E$131,B8,Raw_Dataset!$J$2:$J$131)*100,2)</f>
        <v>3.05</v>
      </c>
      <c r="F8" s="1">
        <f>ROUND(SUMIF(Raw_Dataset!$E$2:$E$131,B8,Raw_Dataset!$M$2:$M$131)/SUMIF(Raw_Dataset!$E$2:$E$131,B8,Raw_Dataset!$J$2:$J$131)*100,2)</f>
        <v>10.68</v>
      </c>
      <c r="G8" s="1">
        <f>SUMIF(Raw_Dataset!$E$2:$E$131,B8,Raw_Dataset!$J$2:$J$131)</f>
        <v>1049</v>
      </c>
      <c r="H8" s="1" t="str">
        <f t="shared" si="0"/>
        <v>High Priority</v>
      </c>
      <c r="I8" s="11" t="s">
        <v>553</v>
      </c>
      <c r="J8" s="11" t="str">
        <f>INDEX(Raw_Dataset!$U$2:$U$131,MATCH(B8,Raw_Dataset!$E$2:$E$131,0))</f>
        <v>Deploy chatbot for L1 query resolution to reduce queue time</v>
      </c>
    </row>
    <row r="9" spans="1:11" ht="30" customHeight="1" x14ac:dyDescent="0.3">
      <c r="A9" s="1">
        <v>5</v>
      </c>
      <c r="B9" s="2" t="s">
        <v>180</v>
      </c>
      <c r="C9" s="1">
        <f>ROUND(AVERAGEIF(Raw_Dataset!$E$2:$E$131,B9,Raw_Dataset!$H$2:$H$131)+AVERAGEIF(Raw_Dataset!$E$2:$E$131,B9,Raw_Dataset!$N$2:$N$131)+AVERAGEIF(Raw_Dataset!$E$2:$E$131,B9,Raw_Dataset!$O$2:$O$131),1)</f>
        <v>63.2</v>
      </c>
      <c r="D9" s="1">
        <f>ROUND(SUMIF(Raw_Dataset!$E$2:$E$131,B9,Raw_Dataset!$P$2:$P$131),2)</f>
        <v>4007.35</v>
      </c>
      <c r="E9" s="1">
        <f>ROUND(SUMIF(Raw_Dataset!$E$2:$E$131,B9,Raw_Dataset!$L$2:$L$131)/SUMIF(Raw_Dataset!$E$2:$E$131,B9,Raw_Dataset!$J$2:$J$131)*100,2)</f>
        <v>3.27</v>
      </c>
      <c r="F9" s="1">
        <f>ROUND(SUMIF(Raw_Dataset!$E$2:$E$131,B9,Raw_Dataset!$M$2:$M$131)/SUMIF(Raw_Dataset!$E$2:$E$131,B9,Raw_Dataset!$J$2:$J$131)*100,2)</f>
        <v>2.2799999999999998</v>
      </c>
      <c r="G9" s="1">
        <f>SUMIF(Raw_Dataset!$E$2:$E$131,B9,Raw_Dataset!$J$2:$J$131)</f>
        <v>1010</v>
      </c>
      <c r="H9" s="1" t="str">
        <f t="shared" si="0"/>
        <v>High Priority</v>
      </c>
      <c r="I9" s="11" t="s">
        <v>554</v>
      </c>
      <c r="J9" s="11" t="str">
        <f>INDEX(Raw_Dataset!$U$2:$U$131,MATCH(B9,Raw_Dataset!$E$2:$E$131,0))</f>
        <v>Set auto-approval limits for invoices below threshold value</v>
      </c>
    </row>
    <row r="10" spans="1:11" ht="30" customHeight="1" x14ac:dyDescent="0.3">
      <c r="A10" s="1">
        <v>6</v>
      </c>
      <c r="B10" s="2" t="s">
        <v>161</v>
      </c>
      <c r="C10" s="1">
        <f>ROUND(AVERAGEIF(Raw_Dataset!$E$2:$E$131,B10,Raw_Dataset!$H$2:$H$131)+AVERAGEIF(Raw_Dataset!$E$2:$E$131,B10,Raw_Dataset!$N$2:$N$131)+AVERAGEIF(Raw_Dataset!$E$2:$E$131,B10,Raw_Dataset!$O$2:$O$131),1)</f>
        <v>27.6</v>
      </c>
      <c r="D10" s="1">
        <f>ROUND(SUMIF(Raw_Dataset!$E$2:$E$131,B10,Raw_Dataset!$P$2:$P$131),2)</f>
        <v>3045.22</v>
      </c>
      <c r="E10" s="1">
        <f>ROUND(SUMIF(Raw_Dataset!$E$2:$E$131,B10,Raw_Dataset!$L$2:$L$131)/SUMIF(Raw_Dataset!$E$2:$E$131,B10,Raw_Dataset!$J$2:$J$131)*100,2)</f>
        <v>12.52</v>
      </c>
      <c r="F10" s="1">
        <f>ROUND(SUMIF(Raw_Dataset!$E$2:$E$131,B10,Raw_Dataset!$M$2:$M$131)/SUMIF(Raw_Dataset!$E$2:$E$131,B10,Raw_Dataset!$J$2:$J$131)*100,2)</f>
        <v>10.68</v>
      </c>
      <c r="G10" s="1">
        <f>SUMIF(Raw_Dataset!$E$2:$E$131,B10,Raw_Dataset!$J$2:$J$131)</f>
        <v>543</v>
      </c>
      <c r="H10" s="1" t="str">
        <f t="shared" si="0"/>
        <v>Medium Priority</v>
      </c>
      <c r="I10" s="11" t="s">
        <v>555</v>
      </c>
      <c r="J10" s="11" t="str">
        <f>INDEX(Raw_Dataset!$U$2:$U$131,MATCH(B10,Raw_Dataset!$E$2:$E$131,0))</f>
        <v>Use RPA bots for automated bank-statement matching</v>
      </c>
    </row>
    <row r="11" spans="1:11" ht="30" customHeight="1" x14ac:dyDescent="0.3">
      <c r="A11" s="1">
        <v>7</v>
      </c>
      <c r="B11" s="2" t="s">
        <v>88</v>
      </c>
      <c r="C11" s="1">
        <f>ROUND(AVERAGEIF(Raw_Dataset!$E$2:$E$131,B11,Raw_Dataset!$H$2:$H$131)+AVERAGEIF(Raw_Dataset!$E$2:$E$131,B11,Raw_Dataset!$N$2:$N$131)+AVERAGEIF(Raw_Dataset!$E$2:$E$131,B11,Raw_Dataset!$O$2:$O$131),1)</f>
        <v>22.3</v>
      </c>
      <c r="D11" s="1">
        <f>ROUND(SUMIF(Raw_Dataset!$E$2:$E$131,B11,Raw_Dataset!$P$2:$P$131),2)</f>
        <v>3891.65</v>
      </c>
      <c r="E11" s="1">
        <f>ROUND(SUMIF(Raw_Dataset!$E$2:$E$131,B11,Raw_Dataset!$L$2:$L$131)/SUMIF(Raw_Dataset!$E$2:$E$131,B11,Raw_Dataset!$J$2:$J$131)*100,2)</f>
        <v>3.28</v>
      </c>
      <c r="F11" s="1">
        <f>ROUND(SUMIF(Raw_Dataset!$E$2:$E$131,B11,Raw_Dataset!$M$2:$M$131)/SUMIF(Raw_Dataset!$E$2:$E$131,B11,Raw_Dataset!$J$2:$J$131)*100,2)</f>
        <v>11.13</v>
      </c>
      <c r="G11" s="1">
        <f>SUMIF(Raw_Dataset!$E$2:$E$131,B11,Raw_Dataset!$J$2:$J$131)</f>
        <v>701</v>
      </c>
      <c r="H11" s="1" t="str">
        <f t="shared" si="0"/>
        <v>Medium Priority</v>
      </c>
      <c r="I11" s="11" t="s">
        <v>556</v>
      </c>
      <c r="J11" s="11" t="str">
        <f>INDEX(Raw_Dataset!$U$2:$U$131,MATCH(B11,Raw_Dataset!$E$2:$E$131,0))</f>
        <v>Standardize packing SOPs and add packing-station checklists</v>
      </c>
    </row>
    <row r="12" spans="1:11" ht="30" customHeight="1" x14ac:dyDescent="0.3">
      <c r="A12" s="1">
        <v>8</v>
      </c>
      <c r="B12" s="2" t="s">
        <v>297</v>
      </c>
      <c r="C12" s="1">
        <f>ROUND(AVERAGEIF(Raw_Dataset!$E$2:$E$131,B12,Raw_Dataset!$H$2:$H$131)+AVERAGEIF(Raw_Dataset!$E$2:$E$131,B12,Raw_Dataset!$N$2:$N$131)+AVERAGEIF(Raw_Dataset!$E$2:$E$131,B12,Raw_Dataset!$O$2:$O$131),1)</f>
        <v>60.7</v>
      </c>
      <c r="D12" s="1">
        <f>ROUND(SUMIF(Raw_Dataset!$E$2:$E$131,B12,Raw_Dataset!$P$2:$P$131),2)</f>
        <v>2287.0300000000002</v>
      </c>
      <c r="E12" s="1">
        <f>ROUND(SUMIF(Raw_Dataset!$E$2:$E$131,B12,Raw_Dataset!$L$2:$L$131)/SUMIF(Raw_Dataset!$E$2:$E$131,B12,Raw_Dataset!$J$2:$J$131)*100,2)</f>
        <v>2.67</v>
      </c>
      <c r="F12" s="1">
        <f>ROUND(SUMIF(Raw_Dataset!$E$2:$E$131,B12,Raw_Dataset!$M$2:$M$131)/SUMIF(Raw_Dataset!$E$2:$E$131,B12,Raw_Dataset!$J$2:$J$131)*100,2)</f>
        <v>8.98</v>
      </c>
      <c r="G12" s="1">
        <f>SUMIF(Raw_Dataset!$E$2:$E$131,B12,Raw_Dataset!$J$2:$J$131)</f>
        <v>412</v>
      </c>
      <c r="H12" s="1" t="str">
        <f t="shared" si="0"/>
        <v>Medium Priority</v>
      </c>
      <c r="I12" s="11" t="s">
        <v>557</v>
      </c>
      <c r="J12" s="11" t="str">
        <f>INDEX(Raw_Dataset!$U$2:$U$131,MATCH(B12,Raw_Dataset!$E$2:$E$131,0))</f>
        <v>Automate refund triggers tied to return-approval status</v>
      </c>
    </row>
    <row r="13" spans="1:11" ht="30" customHeight="1" x14ac:dyDescent="0.3">
      <c r="A13" s="1">
        <v>9</v>
      </c>
      <c r="B13" s="2" t="s">
        <v>135</v>
      </c>
      <c r="C13" s="1">
        <f>ROUND(AVERAGEIF(Raw_Dataset!$E$2:$E$131,B13,Raw_Dataset!$H$2:$H$131)+AVERAGEIF(Raw_Dataset!$E$2:$E$131,B13,Raw_Dataset!$N$2:$N$131)+AVERAGEIF(Raw_Dataset!$E$2:$E$131,B13,Raw_Dataset!$O$2:$O$131),1)</f>
        <v>16</v>
      </c>
      <c r="D13" s="1">
        <f>ROUND(SUMIF(Raw_Dataset!$E$2:$E$131,B13,Raw_Dataset!$P$2:$P$131),2)</f>
        <v>4129.1899999999996</v>
      </c>
      <c r="E13" s="1">
        <f>ROUND(SUMIF(Raw_Dataset!$E$2:$E$131,B13,Raw_Dataset!$L$2:$L$131)/SUMIF(Raw_Dataset!$E$2:$E$131,B13,Raw_Dataset!$J$2:$J$131)*100,2)</f>
        <v>12.22</v>
      </c>
      <c r="F13" s="1">
        <f>ROUND(SUMIF(Raw_Dataset!$E$2:$E$131,B13,Raw_Dataset!$M$2:$M$131)/SUMIF(Raw_Dataset!$E$2:$E$131,B13,Raw_Dataset!$J$2:$J$131)*100,2)</f>
        <v>9.25</v>
      </c>
      <c r="G13" s="1">
        <f>SUMIF(Raw_Dataset!$E$2:$E$131,B13,Raw_Dataset!$J$2:$J$131)</f>
        <v>843</v>
      </c>
      <c r="H13" s="1" t="str">
        <f t="shared" si="0"/>
        <v>Medium Priority</v>
      </c>
      <c r="I13" s="11" t="s">
        <v>558</v>
      </c>
      <c r="J13" s="11" t="str">
        <f>INDEX(Raw_Dataset!$U$2:$U$131,MATCH(B13,Raw_Dataset!$E$2:$E$131,0))</f>
        <v>Add automated weight/dimension QC sensors to reduce manual QC errors</v>
      </c>
    </row>
    <row r="14" spans="1:11" ht="30" customHeight="1" x14ac:dyDescent="0.3">
      <c r="A14" s="1">
        <v>10</v>
      </c>
      <c r="B14" s="2" t="s">
        <v>70</v>
      </c>
      <c r="C14" s="1">
        <f>ROUND(AVERAGEIF(Raw_Dataset!$E$2:$E$131,B14,Raw_Dataset!$H$2:$H$131)+AVERAGEIF(Raw_Dataset!$E$2:$E$131,B14,Raw_Dataset!$N$2:$N$131)+AVERAGEIF(Raw_Dataset!$E$2:$E$131,B14,Raw_Dataset!$O$2:$O$131),1)</f>
        <v>21.7</v>
      </c>
      <c r="D14" s="1">
        <f>ROUND(SUMIF(Raw_Dataset!$E$2:$E$131,B14,Raw_Dataset!$P$2:$P$131),2)</f>
        <v>2863.51</v>
      </c>
      <c r="E14" s="1">
        <f>ROUND(SUMIF(Raw_Dataset!$E$2:$E$131,B14,Raw_Dataset!$L$2:$L$131)/SUMIF(Raw_Dataset!$E$2:$E$131,B14,Raw_Dataset!$J$2:$J$131)*100,2)</f>
        <v>11.75</v>
      </c>
      <c r="F14" s="1">
        <f>ROUND(SUMIF(Raw_Dataset!$E$2:$E$131,B14,Raw_Dataset!$M$2:$M$131)/SUMIF(Raw_Dataset!$E$2:$E$131,B14,Raw_Dataset!$J$2:$J$131)*100,2)</f>
        <v>9.3699999999999992</v>
      </c>
      <c r="G14" s="1">
        <f>SUMIF(Raw_Dataset!$E$2:$E$131,B14,Raw_Dataset!$J$2:$J$131)</f>
        <v>587</v>
      </c>
      <c r="H14" s="1" t="str">
        <f t="shared" si="0"/>
        <v>Medium Priority</v>
      </c>
      <c r="I14" s="11" t="s">
        <v>559</v>
      </c>
      <c r="J14" s="11" t="str">
        <f>INDEX(Raw_Dataset!$U$2:$U$131,MATCH(B14,Raw_Dataset!$E$2:$E$131,0))</f>
        <v>Implement real-time inventory sync between CRM and ERP</v>
      </c>
    </row>
    <row r="15" spans="1:11" ht="30" customHeight="1" x14ac:dyDescent="0.3">
      <c r="A15" s="1">
        <v>11</v>
      </c>
      <c r="B15" s="2" t="s">
        <v>353</v>
      </c>
      <c r="C15" s="1">
        <f>ROUND(AVERAGEIF(Raw_Dataset!$E$2:$E$131,B15,Raw_Dataset!$H$2:$H$131)+AVERAGEIF(Raw_Dataset!$E$2:$E$131,B15,Raw_Dataset!$N$2:$N$131)+AVERAGEIF(Raw_Dataset!$E$2:$E$131,B15,Raw_Dataset!$O$2:$O$131),1)</f>
        <v>21.1</v>
      </c>
      <c r="D15" s="1">
        <f>ROUND(SUMIF(Raw_Dataset!$E$2:$E$131,B15,Raw_Dataset!$P$2:$P$131),2)</f>
        <v>3776.89</v>
      </c>
      <c r="E15" s="1">
        <f>ROUND(SUMIF(Raw_Dataset!$E$2:$E$131,B15,Raw_Dataset!$L$2:$L$131)/SUMIF(Raw_Dataset!$E$2:$E$131,B15,Raw_Dataset!$J$2:$J$131)*100,2)</f>
        <v>11.74</v>
      </c>
      <c r="F15" s="1">
        <f>ROUND(SUMIF(Raw_Dataset!$E$2:$E$131,B15,Raw_Dataset!$M$2:$M$131)/SUMIF(Raw_Dataset!$E$2:$E$131,B15,Raw_Dataset!$J$2:$J$131)*100,2)</f>
        <v>8.86</v>
      </c>
      <c r="G15" s="1">
        <f>SUMIF(Raw_Dataset!$E$2:$E$131,B15,Raw_Dataset!$J$2:$J$131)</f>
        <v>835</v>
      </c>
      <c r="H15" s="1" t="str">
        <f t="shared" si="0"/>
        <v>Medium Priority</v>
      </c>
      <c r="I15" s="11" t="s">
        <v>560</v>
      </c>
      <c r="J15" s="11" t="str">
        <f>INDEX(Raw_Dataset!$U$2:$U$131,MATCH(B15,Raw_Dataset!$E$2:$E$131,0))</f>
        <v>Integrate automated payment gateway reconciliation</v>
      </c>
    </row>
    <row r="16" spans="1:11" ht="30" customHeight="1" x14ac:dyDescent="0.3">
      <c r="A16" s="1">
        <v>12</v>
      </c>
      <c r="B16" s="2" t="s">
        <v>263</v>
      </c>
      <c r="C16" s="1">
        <f>ROUND(AVERAGEIF(Raw_Dataset!$E$2:$E$131,B16,Raw_Dataset!$H$2:$H$131)+AVERAGEIF(Raw_Dataset!$E$2:$E$131,B16,Raw_Dataset!$N$2:$N$131)+AVERAGEIF(Raw_Dataset!$E$2:$E$131,B16,Raw_Dataset!$O$2:$O$131),1)</f>
        <v>16.5</v>
      </c>
      <c r="D16" s="1">
        <f>ROUND(SUMIF(Raw_Dataset!$E$2:$E$131,B16,Raw_Dataset!$P$2:$P$131),2)</f>
        <v>3860.66</v>
      </c>
      <c r="E16" s="1">
        <f>ROUND(SUMIF(Raw_Dataset!$E$2:$E$131,B16,Raw_Dataset!$L$2:$L$131)/SUMIF(Raw_Dataset!$E$2:$E$131,B16,Raw_Dataset!$J$2:$J$131)*100,2)</f>
        <v>12.06</v>
      </c>
      <c r="F16" s="1">
        <f>ROUND(SUMIF(Raw_Dataset!$E$2:$E$131,B16,Raw_Dataset!$M$2:$M$131)/SUMIF(Raw_Dataset!$E$2:$E$131,B16,Raw_Dataset!$J$2:$J$131)*100,2)</f>
        <v>9.4700000000000006</v>
      </c>
      <c r="G16" s="1">
        <f>SUMIF(Raw_Dataset!$E$2:$E$131,B16,Raw_Dataset!$J$2:$J$131)</f>
        <v>1161</v>
      </c>
      <c r="H16" s="1" t="str">
        <f t="shared" si="0"/>
        <v>Medium Priority</v>
      </c>
      <c r="I16" s="11" t="s">
        <v>561</v>
      </c>
      <c r="J16" s="11" t="str">
        <f>INDEX(Raw_Dataset!$U$2:$U$131,MATCH(B16,Raw_Dataset!$E$2:$E$131,0))</f>
        <v>Auto-generate invoices via ERP trigger on dispatch confirmation</v>
      </c>
    </row>
    <row r="17" spans="1:10" ht="30" customHeight="1" x14ac:dyDescent="0.3">
      <c r="A17" s="1">
        <v>13</v>
      </c>
      <c r="B17" s="2" t="s">
        <v>142</v>
      </c>
      <c r="C17" s="1">
        <f>ROUND(AVERAGEIF(Raw_Dataset!$E$2:$E$131,B17,Raw_Dataset!$H$2:$H$131)+AVERAGEIF(Raw_Dataset!$E$2:$E$131,B17,Raw_Dataset!$N$2:$N$131)+AVERAGEIF(Raw_Dataset!$E$2:$E$131,B17,Raw_Dataset!$O$2:$O$131),1)</f>
        <v>66.3</v>
      </c>
      <c r="D17" s="1">
        <f>ROUND(SUMIF(Raw_Dataset!$E$2:$E$131,B17,Raw_Dataset!$P$2:$P$131),2)</f>
        <v>1363.81</v>
      </c>
      <c r="E17" s="1">
        <f>ROUND(SUMIF(Raw_Dataset!$E$2:$E$131,B17,Raw_Dataset!$L$2:$L$131)/SUMIF(Raw_Dataset!$E$2:$E$131,B17,Raw_Dataset!$J$2:$J$131)*100,2)</f>
        <v>2.0499999999999998</v>
      </c>
      <c r="F17" s="1">
        <f>ROUND(SUMIF(Raw_Dataset!$E$2:$E$131,B17,Raw_Dataset!$M$2:$M$131)/SUMIF(Raw_Dataset!$E$2:$E$131,B17,Raw_Dataset!$J$2:$J$131)*100,2)</f>
        <v>2.81</v>
      </c>
      <c r="G17" s="1">
        <f>SUMIF(Raw_Dataset!$E$2:$E$131,B17,Raw_Dataset!$J$2:$J$131)</f>
        <v>391</v>
      </c>
      <c r="H17" s="1" t="str">
        <f t="shared" si="0"/>
        <v>Low Priority</v>
      </c>
      <c r="I17" s="11" t="s">
        <v>562</v>
      </c>
      <c r="J17" s="11" t="str">
        <f>INDEX(Raw_Dataset!$U$2:$U$131,MATCH(B17,Raw_Dataset!$E$2:$E$131,0))</f>
        <v>Introduce auto-approval thresholds and delegation rules to cut approval delay</v>
      </c>
    </row>
    <row r="18" spans="1:10" ht="30" customHeight="1" x14ac:dyDescent="0.3">
      <c r="A18" s="1">
        <v>14</v>
      </c>
      <c r="B18" s="2" t="s">
        <v>224</v>
      </c>
      <c r="C18" s="1">
        <f>ROUND(AVERAGEIF(Raw_Dataset!$E$2:$E$131,B18,Raw_Dataset!$H$2:$H$131)+AVERAGEIF(Raw_Dataset!$E$2:$E$131,B18,Raw_Dataset!$N$2:$N$131)+AVERAGEIF(Raw_Dataset!$E$2:$E$131,B18,Raw_Dataset!$O$2:$O$131),1)</f>
        <v>40.5</v>
      </c>
      <c r="D18" s="1">
        <f>ROUND(SUMIF(Raw_Dataset!$E$2:$E$131,B18,Raw_Dataset!$P$2:$P$131),2)</f>
        <v>2851.93</v>
      </c>
      <c r="E18" s="1">
        <f>ROUND(SUMIF(Raw_Dataset!$E$2:$E$131,B18,Raw_Dataset!$L$2:$L$131)/SUMIF(Raw_Dataset!$E$2:$E$131,B18,Raw_Dataset!$J$2:$J$131)*100,2)</f>
        <v>2.54</v>
      </c>
      <c r="F18" s="1">
        <f>ROUND(SUMIF(Raw_Dataset!$E$2:$E$131,B18,Raw_Dataset!$M$2:$M$131)/SUMIF(Raw_Dataset!$E$2:$E$131,B18,Raw_Dataset!$J$2:$J$131)*100,2)</f>
        <v>2.2000000000000002</v>
      </c>
      <c r="G18" s="1">
        <f>SUMIF(Raw_Dataset!$E$2:$E$131,B18,Raw_Dataset!$J$2:$J$131)</f>
        <v>591</v>
      </c>
      <c r="H18" s="1" t="str">
        <f t="shared" si="0"/>
        <v>Low Priority</v>
      </c>
      <c r="I18" s="11" t="s">
        <v>563</v>
      </c>
      <c r="J18" s="11" t="str">
        <f>INDEX(Raw_Dataset!$U$2:$U$131,MATCH(B18,Raw_Dataset!$E$2:$E$131,0))</f>
        <v>Use route optimization software to auto-schedule dispatch</v>
      </c>
    </row>
    <row r="19" spans="1:10" ht="30" customHeight="1" x14ac:dyDescent="0.3">
      <c r="A19" s="1">
        <v>15</v>
      </c>
      <c r="B19" s="2" t="s">
        <v>213</v>
      </c>
      <c r="C19" s="1">
        <f>ROUND(AVERAGEIF(Raw_Dataset!$E$2:$E$131,B19,Raw_Dataset!$H$2:$H$131)+AVERAGEIF(Raw_Dataset!$E$2:$E$131,B19,Raw_Dataset!$N$2:$N$131)+AVERAGEIF(Raw_Dataset!$E$2:$E$131,B19,Raw_Dataset!$O$2:$O$131),1)</f>
        <v>19</v>
      </c>
      <c r="D19" s="1">
        <f>ROUND(SUMIF(Raw_Dataset!$E$2:$E$131,B19,Raw_Dataset!$P$2:$P$131),2)</f>
        <v>2958.49</v>
      </c>
      <c r="E19" s="1">
        <f>ROUND(SUMIF(Raw_Dataset!$E$2:$E$131,B19,Raw_Dataset!$L$2:$L$131)/SUMIF(Raw_Dataset!$E$2:$E$131,B19,Raw_Dataset!$J$2:$J$131)*100,2)</f>
        <v>12.76</v>
      </c>
      <c r="F19" s="1">
        <f>ROUND(SUMIF(Raw_Dataset!$E$2:$E$131,B19,Raw_Dataset!$M$2:$M$131)/SUMIF(Raw_Dataset!$E$2:$E$131,B19,Raw_Dataset!$J$2:$J$131)*100,2)</f>
        <v>1.66</v>
      </c>
      <c r="G19" s="1">
        <f>SUMIF(Raw_Dataset!$E$2:$E$131,B19,Raw_Dataset!$J$2:$J$131)</f>
        <v>784</v>
      </c>
      <c r="H19" s="1" t="str">
        <f t="shared" si="0"/>
        <v>Low Priority</v>
      </c>
      <c r="I19" s="11" t="s">
        <v>564</v>
      </c>
      <c r="J19" s="11" t="str">
        <f>INDEX(Raw_Dataset!$U$2:$U$131,MATCH(B19,Raw_Dataset!$E$2:$E$131,0))</f>
        <v>Automate tracking updates via courier API webhook integration</v>
      </c>
    </row>
    <row r="20" spans="1:10" ht="30" customHeight="1" x14ac:dyDescent="0.3">
      <c r="A20" s="1">
        <v>16</v>
      </c>
      <c r="B20" s="2" t="s">
        <v>118</v>
      </c>
      <c r="C20" s="1">
        <f>ROUND(AVERAGEIF(Raw_Dataset!$E$2:$E$131,B20,Raw_Dataset!$H$2:$H$131)+AVERAGEIF(Raw_Dataset!$E$2:$E$131,B20,Raw_Dataset!$N$2:$N$131)+AVERAGEIF(Raw_Dataset!$E$2:$E$131,B20,Raw_Dataset!$O$2:$O$131),1)</f>
        <v>55.3</v>
      </c>
      <c r="D20" s="1">
        <f>ROUND(SUMIF(Raw_Dataset!$E$2:$E$131,B20,Raw_Dataset!$P$2:$P$131),2)</f>
        <v>2477.3000000000002</v>
      </c>
      <c r="E20" s="1">
        <f>ROUND(SUMIF(Raw_Dataset!$E$2:$E$131,B20,Raw_Dataset!$L$2:$L$131)/SUMIF(Raw_Dataset!$E$2:$E$131,B20,Raw_Dataset!$J$2:$J$131)*100,2)</f>
        <v>2.1800000000000002</v>
      </c>
      <c r="F20" s="1">
        <f>ROUND(SUMIF(Raw_Dataset!$E$2:$E$131,B20,Raw_Dataset!$M$2:$M$131)/SUMIF(Raw_Dataset!$E$2:$E$131,B20,Raw_Dataset!$J$2:$J$131)*100,2)</f>
        <v>1.39</v>
      </c>
      <c r="G20" s="1">
        <f>SUMIF(Raw_Dataset!$E$2:$E$131,B20,Raw_Dataset!$J$2:$J$131)</f>
        <v>505</v>
      </c>
      <c r="H20" s="1" t="str">
        <f t="shared" si="0"/>
        <v>Low Priority</v>
      </c>
      <c r="I20" s="11" t="s">
        <v>565</v>
      </c>
      <c r="J20" s="11" t="str">
        <f>INDEX(Raw_Dataset!$U$2:$U$131,MATCH(B20,Raw_Dataset!$E$2:$E$131,0))</f>
        <v>Integrate real-time credit scoring API to remove manual waiting time</v>
      </c>
    </row>
    <row r="21" spans="1:10" ht="30" customHeight="1" x14ac:dyDescent="0.3">
      <c r="A21" s="1">
        <v>17</v>
      </c>
      <c r="B21" s="2" t="s">
        <v>277</v>
      </c>
      <c r="C21" s="1">
        <f>ROUND(AVERAGEIF(Raw_Dataset!$E$2:$E$131,B21,Raw_Dataset!$H$2:$H$131)+AVERAGEIF(Raw_Dataset!$E$2:$E$131,B21,Raw_Dataset!$N$2:$N$131)+AVERAGEIF(Raw_Dataset!$E$2:$E$131,B21,Raw_Dataset!$O$2:$O$131),1)</f>
        <v>11.3</v>
      </c>
      <c r="D21" s="1">
        <f>ROUND(SUMIF(Raw_Dataset!$E$2:$E$131,B21,Raw_Dataset!$P$2:$P$131),2)</f>
        <v>1645.99</v>
      </c>
      <c r="E21" s="1">
        <f>ROUND(SUMIF(Raw_Dataset!$E$2:$E$131,B21,Raw_Dataset!$L$2:$L$131)/SUMIF(Raw_Dataset!$E$2:$E$131,B21,Raw_Dataset!$J$2:$J$131)*100,2)</f>
        <v>3.48</v>
      </c>
      <c r="F21" s="1">
        <f>ROUND(SUMIF(Raw_Dataset!$E$2:$E$131,B21,Raw_Dataset!$M$2:$M$131)/SUMIF(Raw_Dataset!$E$2:$E$131,B21,Raw_Dataset!$J$2:$J$131)*100,2)</f>
        <v>1.93</v>
      </c>
      <c r="G21" s="1">
        <f>SUMIF(Raw_Dataset!$E$2:$E$131,B21,Raw_Dataset!$J$2:$J$131)</f>
        <v>517</v>
      </c>
      <c r="H21" s="1" t="str">
        <f t="shared" si="0"/>
        <v>Low Priority</v>
      </c>
      <c r="I21" s="11" t="s">
        <v>566</v>
      </c>
      <c r="J21" s="11" t="str">
        <f>INDEX(Raw_Dataset!$U$2:$U$131,MATCH(B21,Raw_Dataset!$E$2:$E$131,0))</f>
        <v>Review process for automation opportunity</v>
      </c>
    </row>
    <row r="22" spans="1:10" ht="30" customHeight="1" x14ac:dyDescent="0.3">
      <c r="A22" s="1">
        <v>18</v>
      </c>
      <c r="B22" s="2" t="s">
        <v>246</v>
      </c>
      <c r="C22" s="1">
        <f>ROUND(AVERAGEIF(Raw_Dataset!$E$2:$E$131,B22,Raw_Dataset!$H$2:$H$131)+AVERAGEIF(Raw_Dataset!$E$2:$E$131,B22,Raw_Dataset!$N$2:$N$131)+AVERAGEIF(Raw_Dataset!$E$2:$E$131,B22,Raw_Dataset!$O$2:$O$131),1)</f>
        <v>16.7</v>
      </c>
      <c r="D22" s="1">
        <f>ROUND(SUMIF(Raw_Dataset!$E$2:$E$131,B22,Raw_Dataset!$P$2:$P$131),2)</f>
        <v>1318.48</v>
      </c>
      <c r="E22" s="1">
        <f>ROUND(SUMIF(Raw_Dataset!$E$2:$E$131,B22,Raw_Dataset!$L$2:$L$131)/SUMIF(Raw_Dataset!$E$2:$E$131,B22,Raw_Dataset!$J$2:$J$131)*100,2)</f>
        <v>10.220000000000001</v>
      </c>
      <c r="F22" s="1">
        <f>ROUND(SUMIF(Raw_Dataset!$E$2:$E$131,B22,Raw_Dataset!$M$2:$M$131)/SUMIF(Raw_Dataset!$E$2:$E$131,B22,Raw_Dataset!$J$2:$J$131)*100,2)</f>
        <v>1.24</v>
      </c>
      <c r="G22" s="1">
        <f>SUMIF(Raw_Dataset!$E$2:$E$131,B22,Raw_Dataset!$J$2:$J$131)</f>
        <v>323</v>
      </c>
      <c r="H22" s="1" t="str">
        <f t="shared" si="0"/>
        <v>Low Priority</v>
      </c>
      <c r="I22" s="11" t="s">
        <v>567</v>
      </c>
      <c r="J22" s="11" t="str">
        <f>INDEX(Raw_Dataset!$U$2:$U$131,MATCH(B22,Raw_Dataset!$E$2:$E$131,0))</f>
        <v>Automate validation rules via RPA to reduce manual review time</v>
      </c>
    </row>
    <row r="23" spans="1:10" ht="30" customHeight="1" x14ac:dyDescent="0.3">
      <c r="A23" s="1">
        <v>19</v>
      </c>
      <c r="B23" s="2" t="s">
        <v>100</v>
      </c>
      <c r="C23" s="1">
        <f>ROUND(AVERAGEIF(Raw_Dataset!$E$2:$E$131,B23,Raw_Dataset!$H$2:$H$131)+AVERAGEIF(Raw_Dataset!$E$2:$E$131,B23,Raw_Dataset!$N$2:$N$131)+AVERAGEIF(Raw_Dataset!$E$2:$E$131,B23,Raw_Dataset!$O$2:$O$131),1)</f>
        <v>10.8</v>
      </c>
      <c r="D23" s="1">
        <f>ROUND(SUMIF(Raw_Dataset!$E$2:$E$131,B23,Raw_Dataset!$P$2:$P$131),2)</f>
        <v>1462.4</v>
      </c>
      <c r="E23" s="1">
        <f>ROUND(SUMIF(Raw_Dataset!$E$2:$E$131,B23,Raw_Dataset!$L$2:$L$131)/SUMIF(Raw_Dataset!$E$2:$E$131,B23,Raw_Dataset!$J$2:$J$131)*100,2)</f>
        <v>2.42</v>
      </c>
      <c r="F23" s="1">
        <f>ROUND(SUMIF(Raw_Dataset!$E$2:$E$131,B23,Raw_Dataset!$M$2:$M$131)/SUMIF(Raw_Dataset!$E$2:$E$131,B23,Raw_Dataset!$J$2:$J$131)*100,2)</f>
        <v>1.21</v>
      </c>
      <c r="G23" s="1">
        <f>SUMIF(Raw_Dataset!$E$2:$E$131,B23,Raw_Dataset!$J$2:$J$131)</f>
        <v>579</v>
      </c>
      <c r="H23" s="1" t="str">
        <f t="shared" si="0"/>
        <v>Low Priority</v>
      </c>
      <c r="I23" s="11" t="s">
        <v>568</v>
      </c>
      <c r="J23" s="11" t="str">
        <f>INDEX(Raw_Dataset!$U$2:$U$131,MATCH(B23,Raw_Dataset!$E$2:$E$131,0))</f>
        <v>Enable automated OTP/SMS-based delivery confirmation</v>
      </c>
    </row>
  </sheetData>
  <mergeCells count="2">
    <mergeCell ref="A1:K1"/>
    <mergeCell ref="A2:K2"/>
  </mergeCells>
  <conditionalFormatting sqref="H5:H23">
    <cfRule type="cellIs" dxfId="5" priority="2" operator="equal">
      <formula>"High Priority"</formula>
    </cfRule>
    <cfRule type="cellIs" dxfId="4" priority="3" operator="equal">
      <formula>"Medium Priority"</formula>
    </cfRule>
    <cfRule type="cellIs" dxfId="3" priority="4" operator="equal">
      <formula>"Low Priority"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28" customWidth="1"/>
    <col min="2" max="2" width="16" customWidth="1"/>
    <col min="3" max="3" width="18" customWidth="1"/>
    <col min="4" max="4" width="14" customWidth="1"/>
    <col min="5" max="5" width="18" customWidth="1"/>
    <col min="6" max="6" width="42" customWidth="1"/>
  </cols>
  <sheetData>
    <row r="1" spans="1:6" ht="19.5" customHeight="1" x14ac:dyDescent="0.4">
      <c r="A1" s="30" t="s">
        <v>569</v>
      </c>
      <c r="B1" s="30"/>
      <c r="C1" s="30"/>
      <c r="D1" s="30"/>
      <c r="E1" s="30"/>
      <c r="F1" s="30"/>
    </row>
    <row r="2" spans="1:6" ht="15" customHeight="1" x14ac:dyDescent="0.3">
      <c r="A2" s="31" t="s">
        <v>570</v>
      </c>
      <c r="B2" s="31"/>
      <c r="C2" s="31"/>
      <c r="D2" s="31"/>
      <c r="E2" s="31"/>
      <c r="F2" s="31"/>
    </row>
    <row r="4" spans="1:6" ht="15" customHeight="1" x14ac:dyDescent="0.3">
      <c r="A4" s="6" t="s">
        <v>571</v>
      </c>
      <c r="B4" s="6" t="s">
        <v>572</v>
      </c>
      <c r="C4" s="6" t="s">
        <v>573</v>
      </c>
      <c r="D4" s="6" t="s">
        <v>574</v>
      </c>
      <c r="E4" s="6" t="s">
        <v>575</v>
      </c>
      <c r="F4" s="6" t="s">
        <v>576</v>
      </c>
    </row>
    <row r="5" spans="1:6" ht="27.75" customHeight="1" x14ac:dyDescent="0.3">
      <c r="A5" s="2" t="s">
        <v>577</v>
      </c>
      <c r="B5" s="1">
        <f>KPI_Analysis!H25</f>
        <v>37.6</v>
      </c>
      <c r="C5" s="1">
        <f>ROUND(B5*0.55,2)</f>
        <v>20.68</v>
      </c>
      <c r="D5" s="1">
        <f t="shared" ref="D5:D10" si="0">ROUND(B5-C5,2)</f>
        <v>16.920000000000002</v>
      </c>
      <c r="E5" s="1" t="str">
        <f t="shared" ref="E5:E10" si="1">ROUND((B5-C5)/B5*100,1)&amp;"% reduction"</f>
        <v>45% reduction</v>
      </c>
      <c r="F5" s="11" t="s">
        <v>578</v>
      </c>
    </row>
    <row r="6" spans="1:6" ht="27.75" customHeight="1" x14ac:dyDescent="0.3">
      <c r="A6" s="2" t="s">
        <v>579</v>
      </c>
      <c r="B6" s="1">
        <f>KPI_Analysis!F25</f>
        <v>13.3</v>
      </c>
      <c r="C6" s="1">
        <f>ROUND(B6*0.45,2)</f>
        <v>5.99</v>
      </c>
      <c r="D6" s="1">
        <f t="shared" si="0"/>
        <v>7.31</v>
      </c>
      <c r="E6" s="1" t="str">
        <f t="shared" si="1"/>
        <v>55% reduction</v>
      </c>
      <c r="F6" s="11" t="s">
        <v>580</v>
      </c>
    </row>
    <row r="7" spans="1:6" ht="27.75" customHeight="1" x14ac:dyDescent="0.3">
      <c r="A7" s="2" t="s">
        <v>581</v>
      </c>
      <c r="B7" s="1">
        <f>KPI_Analysis!G25</f>
        <v>6</v>
      </c>
      <c r="C7" s="1">
        <f>ROUND(B7*0.4,2)</f>
        <v>2.4</v>
      </c>
      <c r="D7" s="1">
        <f t="shared" si="0"/>
        <v>3.6</v>
      </c>
      <c r="E7" s="1" t="str">
        <f t="shared" si="1"/>
        <v>60% reduction</v>
      </c>
      <c r="F7" s="11" t="s">
        <v>582</v>
      </c>
    </row>
    <row r="8" spans="1:6" ht="27.75" customHeight="1" x14ac:dyDescent="0.3">
      <c r="A8" s="2" t="s">
        <v>532</v>
      </c>
      <c r="B8" s="1">
        <f>KPI_Analysis!I25</f>
        <v>74660.58</v>
      </c>
      <c r="C8" s="1">
        <f>ROUND(B8*0.75,2)</f>
        <v>55995.44</v>
      </c>
      <c r="D8" s="1">
        <f t="shared" si="0"/>
        <v>18665.14</v>
      </c>
      <c r="E8" s="1" t="str">
        <f t="shared" si="1"/>
        <v>25% reduction</v>
      </c>
      <c r="F8" s="11" t="s">
        <v>583</v>
      </c>
    </row>
    <row r="9" spans="1:6" ht="27.75" customHeight="1" x14ac:dyDescent="0.3">
      <c r="A9" s="2" t="s">
        <v>534</v>
      </c>
      <c r="B9" s="1">
        <f>KPI_Analysis!K25</f>
        <v>7.12</v>
      </c>
      <c r="C9" s="1">
        <f>ROUND(B9*0.5,2)</f>
        <v>3.56</v>
      </c>
      <c r="D9" s="1">
        <f t="shared" si="0"/>
        <v>3.56</v>
      </c>
      <c r="E9" s="1" t="str">
        <f t="shared" si="1"/>
        <v>50% reduction</v>
      </c>
      <c r="F9" s="11" t="s">
        <v>584</v>
      </c>
    </row>
    <row r="10" spans="1:6" ht="27.75" customHeight="1" x14ac:dyDescent="0.3">
      <c r="A10" s="2" t="s">
        <v>535</v>
      </c>
      <c r="B10" s="1">
        <f>KPI_Analysis!L25</f>
        <v>6.09</v>
      </c>
      <c r="C10" s="1">
        <f>ROUND(B10*0.55,2)</f>
        <v>3.35</v>
      </c>
      <c r="D10" s="1">
        <f t="shared" si="0"/>
        <v>2.74</v>
      </c>
      <c r="E10" s="1" t="str">
        <f t="shared" si="1"/>
        <v>45% reduction</v>
      </c>
      <c r="F10" s="11" t="s">
        <v>585</v>
      </c>
    </row>
    <row r="11" spans="1:6" ht="27.75" customHeight="1" x14ac:dyDescent="0.3">
      <c r="A11" s="2" t="s">
        <v>536</v>
      </c>
      <c r="B11" s="1">
        <f>KPI_Analysis!M25</f>
        <v>48.8</v>
      </c>
      <c r="C11" s="1">
        <f>ROUND(B11*1.18,2)</f>
        <v>57.58</v>
      </c>
      <c r="D11" s="1">
        <f>ROUND(C11-B11,2)</f>
        <v>8.7799999999999994</v>
      </c>
      <c r="E11" s="1" t="str">
        <f>ROUND((C11-B11)/B11*100,1)&amp;"% increase"</f>
        <v>18% increase</v>
      </c>
      <c r="F11" s="11" t="s">
        <v>586</v>
      </c>
    </row>
    <row r="12" spans="1:6" ht="27.75" customHeight="1" x14ac:dyDescent="0.3">
      <c r="A12" s="2" t="s">
        <v>587</v>
      </c>
      <c r="B12" s="1">
        <f>KPI_Analysis!N25</f>
        <v>5.43</v>
      </c>
      <c r="C12" s="1">
        <f>ROUND(B12*0.4,2)</f>
        <v>2.17</v>
      </c>
      <c r="D12" s="1">
        <f>ROUND(B12-C12,2)</f>
        <v>3.26</v>
      </c>
      <c r="E12" s="1" t="str">
        <f>ROUND((B12-C12)/B12*100,1)&amp;"% reduction"</f>
        <v>60% reduction</v>
      </c>
      <c r="F12" s="11" t="s">
        <v>588</v>
      </c>
    </row>
    <row r="13" spans="1:6" ht="27.75" customHeight="1" x14ac:dyDescent="0.3">
      <c r="A13" s="2" t="s">
        <v>538</v>
      </c>
      <c r="B13" s="1">
        <f>KPI_Analysis!O25</f>
        <v>93.2</v>
      </c>
      <c r="C13" s="1">
        <f>ROUND(B13*1.12,2)</f>
        <v>104.38</v>
      </c>
      <c r="D13" s="1">
        <f>ROUND(C13-B13,2)</f>
        <v>11.18</v>
      </c>
      <c r="E13" s="1" t="str">
        <f>ROUND((C13-B13)/B13*100,1)&amp;"% increase"</f>
        <v>12% increase</v>
      </c>
      <c r="F13" s="11" t="s">
        <v>589</v>
      </c>
    </row>
    <row r="15" spans="1:6" ht="15" customHeight="1" x14ac:dyDescent="0.3">
      <c r="A15" s="12" t="s">
        <v>590</v>
      </c>
    </row>
    <row r="16" spans="1:6" ht="15" customHeight="1" x14ac:dyDescent="0.3">
      <c r="A16" s="13" t="s">
        <v>591</v>
      </c>
      <c r="B16" s="14">
        <f>B8-C8</f>
        <v>18665.14</v>
      </c>
    </row>
    <row r="17" spans="1:2" ht="15" customHeight="1" x14ac:dyDescent="0.3">
      <c r="A17" s="13" t="s">
        <v>592</v>
      </c>
      <c r="B17" s="14">
        <v>2400</v>
      </c>
    </row>
    <row r="18" spans="1:2" ht="15" customHeight="1" x14ac:dyDescent="0.3">
      <c r="A18" s="13" t="s">
        <v>593</v>
      </c>
      <c r="B18" s="14">
        <f>ROUND((B16/KPI_Analysis!C25)*B17*12,0)</f>
        <v>36900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ColWidth="8.6640625" defaultRowHeight="14.4" x14ac:dyDescent="0.3"/>
  <cols>
    <col min="1" max="1" width="38" customWidth="1"/>
    <col min="2" max="2" width="24" customWidth="1"/>
    <col min="3" max="3" width="12" customWidth="1"/>
    <col min="4" max="4" width="11" customWidth="1"/>
    <col min="5" max="5" width="16" customWidth="1"/>
    <col min="6" max="6" width="18" customWidth="1"/>
  </cols>
  <sheetData>
    <row r="1" spans="1:6" ht="19.5" customHeight="1" x14ac:dyDescent="0.4">
      <c r="A1" s="30" t="s">
        <v>594</v>
      </c>
      <c r="B1" s="30"/>
      <c r="C1" s="30"/>
      <c r="D1" s="30"/>
      <c r="E1" s="30"/>
      <c r="F1" s="30"/>
    </row>
    <row r="2" spans="1:6" ht="15" customHeight="1" x14ac:dyDescent="0.3">
      <c r="A2" s="31" t="s">
        <v>595</v>
      </c>
      <c r="B2" s="31"/>
      <c r="C2" s="31"/>
      <c r="D2" s="31"/>
      <c r="E2" s="31"/>
      <c r="F2" s="31"/>
    </row>
    <row r="4" spans="1:6" ht="15" customHeight="1" x14ac:dyDescent="0.3">
      <c r="A4" s="6" t="s">
        <v>66</v>
      </c>
      <c r="B4" s="6" t="s">
        <v>596</v>
      </c>
      <c r="C4" s="6" t="s">
        <v>597</v>
      </c>
      <c r="D4" s="6" t="s">
        <v>598</v>
      </c>
      <c r="E4" s="6" t="s">
        <v>599</v>
      </c>
      <c r="F4" s="6" t="s">
        <v>600</v>
      </c>
    </row>
    <row r="5" spans="1:6" ht="25.5" customHeight="1" x14ac:dyDescent="0.3">
      <c r="A5" s="11" t="s">
        <v>601</v>
      </c>
      <c r="B5" s="11" t="s">
        <v>263</v>
      </c>
      <c r="C5" s="1">
        <v>5</v>
      </c>
      <c r="D5" s="1">
        <v>2</v>
      </c>
      <c r="E5" s="1" t="str">
        <f t="shared" ref="E5:E23" si="0">IF(AND(C5&gt;=4,D5&lt;=2),"Quick Win",IF(AND(C5&gt;=4,D5&gt;=3),"Major Project",IF(AND(C5&lt;=3,D5&lt;=2),"Fill-In","Reconsider")))</f>
        <v>Quick Win</v>
      </c>
      <c r="F5" s="2" t="s">
        <v>28</v>
      </c>
    </row>
    <row r="6" spans="1:6" ht="25.5" customHeight="1" x14ac:dyDescent="0.3">
      <c r="A6" s="11" t="s">
        <v>602</v>
      </c>
      <c r="B6" s="11" t="s">
        <v>70</v>
      </c>
      <c r="C6" s="1">
        <v>5</v>
      </c>
      <c r="D6" s="1">
        <v>4</v>
      </c>
      <c r="E6" s="1" t="str">
        <f t="shared" si="0"/>
        <v>Major Project</v>
      </c>
      <c r="F6" s="2" t="s">
        <v>603</v>
      </c>
    </row>
    <row r="7" spans="1:6" ht="25.5" customHeight="1" x14ac:dyDescent="0.3">
      <c r="A7" s="11" t="s">
        <v>604</v>
      </c>
      <c r="B7" s="11" t="s">
        <v>94</v>
      </c>
      <c r="C7" s="1">
        <v>4</v>
      </c>
      <c r="D7" s="1">
        <v>3</v>
      </c>
      <c r="E7" s="1" t="str">
        <f t="shared" si="0"/>
        <v>Major Project</v>
      </c>
      <c r="F7" s="2" t="s">
        <v>33</v>
      </c>
    </row>
    <row r="8" spans="1:6" ht="25.5" customHeight="1" x14ac:dyDescent="0.3">
      <c r="A8" s="11" t="s">
        <v>605</v>
      </c>
      <c r="B8" s="11" t="s">
        <v>142</v>
      </c>
      <c r="C8" s="1">
        <v>4</v>
      </c>
      <c r="D8" s="1">
        <v>1</v>
      </c>
      <c r="E8" s="1" t="str">
        <f t="shared" si="0"/>
        <v>Quick Win</v>
      </c>
      <c r="F8" s="2" t="s">
        <v>140</v>
      </c>
    </row>
    <row r="9" spans="1:6" ht="25.5" customHeight="1" x14ac:dyDescent="0.3">
      <c r="A9" s="11" t="s">
        <v>606</v>
      </c>
      <c r="B9" s="11" t="s">
        <v>180</v>
      </c>
      <c r="C9" s="1">
        <v>4</v>
      </c>
      <c r="D9" s="1">
        <v>1</v>
      </c>
      <c r="E9" s="1" t="str">
        <f t="shared" si="0"/>
        <v>Quick Win</v>
      </c>
      <c r="F9" s="2" t="s">
        <v>28</v>
      </c>
    </row>
    <row r="10" spans="1:6" ht="25.5" customHeight="1" x14ac:dyDescent="0.3">
      <c r="A10" s="11" t="s">
        <v>607</v>
      </c>
      <c r="B10" s="11" t="s">
        <v>161</v>
      </c>
      <c r="C10" s="1">
        <v>4</v>
      </c>
      <c r="D10" s="1">
        <v>3</v>
      </c>
      <c r="E10" s="1" t="str">
        <f t="shared" si="0"/>
        <v>Major Project</v>
      </c>
      <c r="F10" s="2" t="s">
        <v>28</v>
      </c>
    </row>
    <row r="11" spans="1:6" ht="25.5" customHeight="1" x14ac:dyDescent="0.3">
      <c r="A11" s="11" t="s">
        <v>608</v>
      </c>
      <c r="B11" s="11" t="s">
        <v>213</v>
      </c>
      <c r="C11" s="1">
        <v>3</v>
      </c>
      <c r="D11" s="1">
        <v>2</v>
      </c>
      <c r="E11" s="1" t="str">
        <f t="shared" si="0"/>
        <v>Fill-In</v>
      </c>
      <c r="F11" s="2" t="s">
        <v>40</v>
      </c>
    </row>
    <row r="12" spans="1:6" ht="25.5" customHeight="1" x14ac:dyDescent="0.3">
      <c r="A12" s="11" t="s">
        <v>609</v>
      </c>
      <c r="B12" s="11" t="s">
        <v>130</v>
      </c>
      <c r="C12" s="1">
        <v>4</v>
      </c>
      <c r="D12" s="1">
        <v>4</v>
      </c>
      <c r="E12" s="1" t="str">
        <f t="shared" si="0"/>
        <v>Major Project</v>
      </c>
      <c r="F12" s="2" t="s">
        <v>37</v>
      </c>
    </row>
    <row r="13" spans="1:6" ht="25.5" customHeight="1" x14ac:dyDescent="0.3">
      <c r="A13" s="11" t="s">
        <v>610</v>
      </c>
      <c r="B13" s="11" t="s">
        <v>79</v>
      </c>
      <c r="C13" s="1">
        <v>3</v>
      </c>
      <c r="D13" s="1">
        <v>3</v>
      </c>
      <c r="E13" s="1" t="str">
        <f t="shared" si="0"/>
        <v>Reconsider</v>
      </c>
      <c r="F13" s="2" t="s">
        <v>37</v>
      </c>
    </row>
    <row r="14" spans="1:6" ht="25.5" customHeight="1" x14ac:dyDescent="0.3">
      <c r="A14" s="11" t="s">
        <v>611</v>
      </c>
      <c r="B14" s="11" t="s">
        <v>135</v>
      </c>
      <c r="C14" s="1">
        <v>3</v>
      </c>
      <c r="D14" s="1">
        <v>4</v>
      </c>
      <c r="E14" s="1" t="str">
        <f t="shared" si="0"/>
        <v>Reconsider</v>
      </c>
      <c r="F14" s="2" t="s">
        <v>33</v>
      </c>
    </row>
    <row r="15" spans="1:6" ht="25.5" customHeight="1" x14ac:dyDescent="0.3">
      <c r="A15" s="11" t="s">
        <v>612</v>
      </c>
      <c r="B15" s="11" t="s">
        <v>224</v>
      </c>
      <c r="C15" s="1">
        <v>3</v>
      </c>
      <c r="D15" s="1">
        <v>3</v>
      </c>
      <c r="E15" s="1" t="str">
        <f t="shared" si="0"/>
        <v>Reconsider</v>
      </c>
      <c r="F15" s="2" t="s">
        <v>40</v>
      </c>
    </row>
    <row r="16" spans="1:6" ht="25.5" customHeight="1" x14ac:dyDescent="0.3">
      <c r="A16" s="11" t="s">
        <v>613</v>
      </c>
      <c r="B16" s="11" t="s">
        <v>155</v>
      </c>
      <c r="C16" s="1">
        <v>3</v>
      </c>
      <c r="D16" s="1">
        <v>1</v>
      </c>
      <c r="E16" s="1" t="str">
        <f t="shared" si="0"/>
        <v>Fill-In</v>
      </c>
      <c r="F16" s="2" t="s">
        <v>40</v>
      </c>
    </row>
    <row r="17" spans="1:6" ht="25.5" customHeight="1" x14ac:dyDescent="0.3">
      <c r="A17" s="11" t="s">
        <v>614</v>
      </c>
      <c r="B17" s="11" t="s">
        <v>88</v>
      </c>
      <c r="C17" s="1">
        <v>2</v>
      </c>
      <c r="D17" s="1">
        <v>1</v>
      </c>
      <c r="E17" s="1" t="str">
        <f t="shared" si="0"/>
        <v>Fill-In</v>
      </c>
      <c r="F17" s="2" t="s">
        <v>33</v>
      </c>
    </row>
    <row r="18" spans="1:6" ht="25.5" customHeight="1" x14ac:dyDescent="0.3">
      <c r="A18" s="11" t="s">
        <v>615</v>
      </c>
      <c r="B18" s="11" t="s">
        <v>100</v>
      </c>
      <c r="C18" s="1">
        <v>2</v>
      </c>
      <c r="D18" s="1">
        <v>2</v>
      </c>
      <c r="E18" s="1" t="str">
        <f t="shared" si="0"/>
        <v>Fill-In</v>
      </c>
      <c r="F18" s="2" t="s">
        <v>37</v>
      </c>
    </row>
    <row r="19" spans="1:6" ht="25.5" customHeight="1" x14ac:dyDescent="0.3">
      <c r="A19" s="11" t="s">
        <v>616</v>
      </c>
      <c r="B19" s="11" t="s">
        <v>118</v>
      </c>
      <c r="C19" s="1">
        <v>4</v>
      </c>
      <c r="D19" s="1">
        <v>4</v>
      </c>
      <c r="E19" s="1" t="str">
        <f t="shared" si="0"/>
        <v>Major Project</v>
      </c>
      <c r="F19" s="2" t="s">
        <v>28</v>
      </c>
    </row>
    <row r="20" spans="1:6" ht="25.5" customHeight="1" x14ac:dyDescent="0.3">
      <c r="A20" s="11" t="s">
        <v>617</v>
      </c>
      <c r="B20" s="11" t="s">
        <v>297</v>
      </c>
      <c r="C20" s="1">
        <v>3</v>
      </c>
      <c r="D20" s="1">
        <v>2</v>
      </c>
      <c r="E20" s="1" t="str">
        <f t="shared" si="0"/>
        <v>Fill-In</v>
      </c>
      <c r="F20" s="2" t="s">
        <v>28</v>
      </c>
    </row>
    <row r="21" spans="1:6" ht="25.5" customHeight="1" x14ac:dyDescent="0.3">
      <c r="A21" s="11" t="s">
        <v>618</v>
      </c>
      <c r="B21" s="11" t="s">
        <v>619</v>
      </c>
      <c r="C21" s="1">
        <v>5</v>
      </c>
      <c r="D21" s="1">
        <v>5</v>
      </c>
      <c r="E21" s="1" t="str">
        <f t="shared" si="0"/>
        <v>Major Project</v>
      </c>
      <c r="F21" s="2" t="s">
        <v>40</v>
      </c>
    </row>
    <row r="22" spans="1:6" ht="25.5" customHeight="1" x14ac:dyDescent="0.3">
      <c r="A22" s="11" t="s">
        <v>620</v>
      </c>
      <c r="B22" s="11" t="s">
        <v>353</v>
      </c>
      <c r="C22" s="1">
        <v>3</v>
      </c>
      <c r="D22" s="1">
        <v>3</v>
      </c>
      <c r="E22" s="1" t="str">
        <f t="shared" si="0"/>
        <v>Reconsider</v>
      </c>
      <c r="F22" s="2" t="s">
        <v>28</v>
      </c>
    </row>
    <row r="23" spans="1:6" ht="25.5" customHeight="1" x14ac:dyDescent="0.3">
      <c r="A23" s="11" t="s">
        <v>621</v>
      </c>
      <c r="B23" s="11" t="s">
        <v>246</v>
      </c>
      <c r="C23" s="1">
        <v>3</v>
      </c>
      <c r="D23" s="1">
        <v>2</v>
      </c>
      <c r="E23" s="1" t="str">
        <f t="shared" si="0"/>
        <v>Fill-In</v>
      </c>
      <c r="F23" s="2" t="s">
        <v>140</v>
      </c>
    </row>
  </sheetData>
  <mergeCells count="2">
    <mergeCell ref="A1:F1"/>
    <mergeCell ref="A2:F2"/>
  </mergeCells>
  <conditionalFormatting sqref="E5:E23">
    <cfRule type="cellIs" dxfId="2" priority="2" operator="equal">
      <formula>"Quick Win"</formula>
    </cfRule>
    <cfRule type="cellIs" dxfId="1" priority="3" operator="equal">
      <formula>"Major Project"</formula>
    </cfRule>
    <cfRule type="cellIs" dxfId="0" priority="4" operator="equal">
      <formula>"Reconsider"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showGridLines="0" zoomScaleNormal="100" workbookViewId="0">
      <selection activeCell="H10" sqref="H10"/>
    </sheetView>
  </sheetViews>
  <sheetFormatPr defaultColWidth="8.6640625" defaultRowHeight="14.4" x14ac:dyDescent="0.3"/>
  <cols>
    <col min="1" max="5" width="22" customWidth="1"/>
  </cols>
  <sheetData>
    <row r="1" spans="1:5" ht="19.5" customHeight="1" x14ac:dyDescent="0.4">
      <c r="A1" s="30" t="s">
        <v>622</v>
      </c>
      <c r="B1" s="30"/>
      <c r="C1" s="30"/>
      <c r="D1" s="30"/>
    </row>
    <row r="3" spans="1:5" ht="45" customHeight="1" x14ac:dyDescent="0.3">
      <c r="A3" s="15" t="s">
        <v>47</v>
      </c>
      <c r="B3" s="32" t="s">
        <v>623</v>
      </c>
      <c r="C3" s="32"/>
      <c r="D3" s="32"/>
      <c r="E3" s="32"/>
    </row>
    <row r="4" spans="1:5" ht="45" customHeight="1" x14ac:dyDescent="0.3">
      <c r="A4" s="15" t="s">
        <v>49</v>
      </c>
      <c r="B4" s="32" t="s">
        <v>624</v>
      </c>
      <c r="C4" s="32"/>
      <c r="D4" s="32"/>
      <c r="E4" s="32"/>
    </row>
    <row r="5" spans="1:5" ht="45" customHeight="1" x14ac:dyDescent="0.3">
      <c r="A5" s="15" t="s">
        <v>625</v>
      </c>
      <c r="B5" s="32" t="s">
        <v>626</v>
      </c>
      <c r="C5" s="32"/>
      <c r="D5" s="32"/>
      <c r="E5" s="32"/>
    </row>
    <row r="6" spans="1:5" ht="45" customHeight="1" x14ac:dyDescent="0.3">
      <c r="A6" s="15" t="s">
        <v>627</v>
      </c>
      <c r="B6" s="32" t="s">
        <v>628</v>
      </c>
      <c r="C6" s="32"/>
      <c r="D6" s="32"/>
      <c r="E6" s="32"/>
    </row>
    <row r="7" spans="1:5" ht="45" customHeight="1" x14ac:dyDescent="0.3">
      <c r="A7" s="15" t="s">
        <v>629</v>
      </c>
      <c r="B7" s="32" t="s">
        <v>630</v>
      </c>
      <c r="C7" s="32"/>
      <c r="D7" s="32"/>
      <c r="E7" s="32"/>
    </row>
    <row r="8" spans="1:5" ht="45" customHeight="1" x14ac:dyDescent="0.3">
      <c r="A8" s="15" t="s">
        <v>631</v>
      </c>
      <c r="B8" s="32" t="s">
        <v>632</v>
      </c>
      <c r="C8" s="32"/>
      <c r="D8" s="32"/>
      <c r="E8" s="32"/>
    </row>
    <row r="9" spans="1:5" ht="45" customHeight="1" x14ac:dyDescent="0.3">
      <c r="A9" s="15" t="s">
        <v>633</v>
      </c>
      <c r="B9" s="32" t="s">
        <v>634</v>
      </c>
      <c r="C9" s="32"/>
      <c r="D9" s="32"/>
      <c r="E9" s="32"/>
    </row>
    <row r="10" spans="1:5" ht="45" customHeight="1" x14ac:dyDescent="0.3">
      <c r="A10" s="15" t="s">
        <v>635</v>
      </c>
      <c r="B10" s="32" t="s">
        <v>636</v>
      </c>
      <c r="C10" s="32"/>
      <c r="D10" s="32"/>
      <c r="E10" s="32"/>
    </row>
    <row r="11" spans="1:5" ht="45" customHeight="1" x14ac:dyDescent="0.3">
      <c r="A11" s="15" t="s">
        <v>637</v>
      </c>
      <c r="B11" s="32" t="s">
        <v>638</v>
      </c>
      <c r="C11" s="32"/>
      <c r="D11" s="32"/>
      <c r="E11" s="32"/>
    </row>
    <row r="12" spans="1:5" ht="45" customHeight="1" x14ac:dyDescent="0.3">
      <c r="A12" s="15" t="s">
        <v>639</v>
      </c>
      <c r="B12" s="32" t="s">
        <v>640</v>
      </c>
      <c r="C12" s="32"/>
      <c r="D12" s="32"/>
      <c r="E12" s="32"/>
    </row>
  </sheetData>
  <mergeCells count="11">
    <mergeCell ref="A1:D1"/>
    <mergeCell ref="B3:E3"/>
    <mergeCell ref="B4:E4"/>
    <mergeCell ref="B5:E5"/>
    <mergeCell ref="B6:E6"/>
    <mergeCell ref="B12:E12"/>
    <mergeCell ref="B7:E7"/>
    <mergeCell ref="B8:E8"/>
    <mergeCell ref="B9:E9"/>
    <mergeCell ref="B10:E10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26" customWidth="1"/>
    <col min="3" max="3" width="32" customWidth="1"/>
    <col min="4" max="4" width="28" customWidth="1"/>
    <col min="5" max="5" width="24" customWidth="1"/>
  </cols>
  <sheetData>
    <row r="1" spans="1:5" ht="19.5" customHeight="1" x14ac:dyDescent="0.4">
      <c r="A1" s="30" t="s">
        <v>641</v>
      </c>
      <c r="B1" s="30"/>
      <c r="C1" s="30"/>
      <c r="D1" s="30"/>
      <c r="E1" s="30"/>
    </row>
    <row r="2" spans="1:5" ht="15" customHeight="1" x14ac:dyDescent="0.3">
      <c r="A2" s="31" t="s">
        <v>642</v>
      </c>
      <c r="B2" s="31"/>
      <c r="C2" s="31"/>
      <c r="D2" s="31"/>
      <c r="E2" s="31"/>
    </row>
    <row r="4" spans="1:5" ht="15" customHeight="1" x14ac:dyDescent="0.3">
      <c r="A4" s="6" t="s">
        <v>643</v>
      </c>
      <c r="B4" s="6" t="s">
        <v>644</v>
      </c>
      <c r="C4" s="6" t="s">
        <v>645</v>
      </c>
      <c r="D4" s="6" t="s">
        <v>646</v>
      </c>
      <c r="E4" s="6" t="s">
        <v>647</v>
      </c>
    </row>
    <row r="5" spans="1:5" ht="33.75" customHeight="1" x14ac:dyDescent="0.3">
      <c r="A5" s="11" t="s">
        <v>648</v>
      </c>
      <c r="B5" s="11" t="s">
        <v>649</v>
      </c>
      <c r="C5" s="11" t="s">
        <v>650</v>
      </c>
      <c r="D5" s="11" t="s">
        <v>651</v>
      </c>
      <c r="E5" s="11" t="s">
        <v>652</v>
      </c>
    </row>
    <row r="6" spans="1:5" ht="33.75" customHeight="1" x14ac:dyDescent="0.3">
      <c r="A6" s="11" t="s">
        <v>653</v>
      </c>
      <c r="B6" s="11" t="s">
        <v>654</v>
      </c>
      <c r="C6" s="11" t="s">
        <v>655</v>
      </c>
      <c r="D6" s="11" t="s">
        <v>656</v>
      </c>
      <c r="E6" s="11" t="s">
        <v>657</v>
      </c>
    </row>
    <row r="7" spans="1:5" ht="33.75" customHeight="1" x14ac:dyDescent="0.3">
      <c r="A7" s="11" t="s">
        <v>658</v>
      </c>
      <c r="B7" s="11" t="s">
        <v>659</v>
      </c>
      <c r="C7" s="11" t="s">
        <v>660</v>
      </c>
      <c r="D7" s="11" t="s">
        <v>661</v>
      </c>
      <c r="E7" s="11" t="s">
        <v>657</v>
      </c>
    </row>
    <row r="8" spans="1:5" ht="33.75" customHeight="1" x14ac:dyDescent="0.3">
      <c r="A8" s="11" t="s">
        <v>145</v>
      </c>
      <c r="B8" s="11" t="s">
        <v>662</v>
      </c>
      <c r="C8" s="11" t="s">
        <v>663</v>
      </c>
      <c r="D8" s="11" t="s">
        <v>664</v>
      </c>
      <c r="E8" s="11" t="s">
        <v>665</v>
      </c>
    </row>
    <row r="9" spans="1:5" ht="33.75" customHeight="1" x14ac:dyDescent="0.3">
      <c r="A9" s="11" t="s">
        <v>666</v>
      </c>
      <c r="B9" s="11" t="s">
        <v>667</v>
      </c>
      <c r="C9" s="11" t="s">
        <v>668</v>
      </c>
      <c r="D9" s="11" t="s">
        <v>669</v>
      </c>
      <c r="E9" s="11" t="s">
        <v>670</v>
      </c>
    </row>
    <row r="10" spans="1:5" ht="33.75" customHeight="1" x14ac:dyDescent="0.3">
      <c r="A10" s="11" t="s">
        <v>158</v>
      </c>
      <c r="B10" s="11" t="s">
        <v>671</v>
      </c>
      <c r="C10" s="11" t="s">
        <v>672</v>
      </c>
      <c r="D10" s="11" t="s">
        <v>673</v>
      </c>
      <c r="E10" s="11" t="s">
        <v>674</v>
      </c>
    </row>
    <row r="11" spans="1:5" ht="33.75" customHeight="1" x14ac:dyDescent="0.3">
      <c r="A11" s="11" t="s">
        <v>675</v>
      </c>
      <c r="B11" s="11" t="s">
        <v>676</v>
      </c>
      <c r="C11" s="11" t="s">
        <v>677</v>
      </c>
      <c r="D11" s="11" t="s">
        <v>678</v>
      </c>
      <c r="E11" s="11" t="s">
        <v>674</v>
      </c>
    </row>
    <row r="12" spans="1:5" ht="33.75" customHeight="1" x14ac:dyDescent="0.3">
      <c r="A12" s="11" t="s">
        <v>679</v>
      </c>
      <c r="B12" s="11" t="s">
        <v>680</v>
      </c>
      <c r="C12" s="11" t="s">
        <v>681</v>
      </c>
      <c r="D12" s="11" t="s">
        <v>682</v>
      </c>
      <c r="E12" s="11" t="s">
        <v>683</v>
      </c>
    </row>
    <row r="13" spans="1:5" ht="33.75" customHeight="1" x14ac:dyDescent="0.3">
      <c r="A13" s="11" t="s">
        <v>684</v>
      </c>
      <c r="B13" s="11" t="s">
        <v>685</v>
      </c>
      <c r="C13" s="11" t="s">
        <v>686</v>
      </c>
      <c r="D13" s="11" t="s">
        <v>687</v>
      </c>
      <c r="E13" s="11" t="s">
        <v>670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Raw_Dataset</vt:lpstr>
      <vt:lpstr>KPI_Analysis</vt:lpstr>
      <vt:lpstr>Department_Performance</vt:lpstr>
      <vt:lpstr>Bottleneck_Analysis</vt:lpstr>
      <vt:lpstr>AsIs_vs_ToBe</vt:lpstr>
      <vt:lpstr>Improvement_Opportunity_Matrix</vt:lpstr>
      <vt:lpstr>Process_Charter</vt:lpstr>
      <vt:lpstr>SIPOC_Analysis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PAL</cp:lastModifiedBy>
  <cp:revision>6</cp:revision>
  <dcterms:created xsi:type="dcterms:W3CDTF">2026-06-16T15:57:16Z</dcterms:created>
  <dcterms:modified xsi:type="dcterms:W3CDTF">2026-06-18T06:37:13Z</dcterms:modified>
  <dc:language>en-US</dc:language>
</cp:coreProperties>
</file>